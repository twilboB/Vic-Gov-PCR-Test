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P:\Ashley Liang\templates\"/>
    </mc:Choice>
  </mc:AlternateContent>
  <xr:revisionPtr revIDLastSave="0" documentId="8_{1C9E0DEE-9481-4113-B4F4-FFEF2C6D879A}" xr6:coauthVersionLast="47" xr6:coauthVersionMax="47" xr10:uidLastSave="{00000000-0000-0000-0000-000000000000}"/>
  <bookViews>
    <workbookView xWindow="-120" yWindow="-120" windowWidth="29040" windowHeight="15720" tabRatio="831" activeTab="8" xr2:uid="{CAD34EEC-AE9D-4D15-9535-6660539AAE46}"/>
  </bookViews>
  <sheets>
    <sheet name="PCR Summary " sheetId="25" r:id="rId1"/>
    <sheet name="TV Detail" sheetId="1" r:id="rId2"/>
    <sheet name="TV Data" sheetId="2" r:id="rId3"/>
    <sheet name="Cinema Detail" sheetId="22" r:id="rId4"/>
    <sheet name="Cinema Data" sheetId="23" r:id="rId5"/>
    <sheet name="Press Detail" sheetId="16" r:id="rId6"/>
    <sheet name="Press Data" sheetId="17" r:id="rId7"/>
    <sheet name="Radio Detail" sheetId="10" r:id="rId8"/>
    <sheet name="Radio Data" sheetId="13" r:id="rId9"/>
    <sheet name="OOH Detail" sheetId="18" r:id="rId10"/>
    <sheet name="OOH Data" sheetId="19" r:id="rId11"/>
    <sheet name="Direct Digi Detail" sheetId="20" r:id="rId12"/>
    <sheet name="Direct Digi Data" sheetId="21" r:id="rId13"/>
  </sheets>
  <definedNames>
    <definedName name="_xlnm.Print_Area" localSheetId="3">'Cinema Detail'!$A$1:$H$74</definedName>
    <definedName name="_xlnm.Print_Area" localSheetId="11">'Direct Digi Detail'!$A$1:$J$58</definedName>
    <definedName name="_xlnm.Print_Area" localSheetId="9">'OOH Detail'!$A$1:$H$58</definedName>
    <definedName name="_xlnm.Print_Area" localSheetId="0">'PCR Summary '!$A$1:$H$62</definedName>
    <definedName name="_xlnm.Print_Area" localSheetId="5">'Press Detail'!$A$1:$H$57</definedName>
    <definedName name="_xlnm.Print_Area" localSheetId="7">'Radio Detail'!$A$1:$H$58</definedName>
    <definedName name="_xlnm.Print_Area" localSheetId="1">'TV Detail'!$A$1:$H$83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9" i="25" l="1"/>
  <c r="D18" i="25"/>
  <c r="D17" i="25"/>
  <c r="D16" i="25"/>
  <c r="D29" i="25"/>
  <c r="J8" i="25"/>
  <c r="J10" i="25" s="1"/>
  <c r="H9" i="17"/>
  <c r="C23" i="16"/>
  <c r="D23" i="16"/>
  <c r="E23" i="16"/>
  <c r="F23" i="16" a="1"/>
  <c r="F23" i="16"/>
  <c r="C24" i="16"/>
  <c r="D24" i="16"/>
  <c r="E24" i="16"/>
  <c r="F24" i="16" a="1"/>
  <c r="F24" i="16" s="1"/>
  <c r="C25" i="16"/>
  <c r="D25" i="16"/>
  <c r="E25" i="16"/>
  <c r="F25" i="16" a="1"/>
  <c r="F25" i="16" s="1"/>
  <c r="C26" i="16"/>
  <c r="D26" i="16"/>
  <c r="E26" i="16"/>
  <c r="F26" i="16" a="1"/>
  <c r="F26" i="16"/>
  <c r="C27" i="16"/>
  <c r="D27" i="16"/>
  <c r="E27" i="16"/>
  <c r="F27" i="16" a="1"/>
  <c r="F27" i="16" s="1"/>
  <c r="C28" i="16"/>
  <c r="D28" i="16"/>
  <c r="E28" i="16"/>
  <c r="F28" i="16" a="1"/>
  <c r="F28" i="16" s="1"/>
  <c r="C29" i="16"/>
  <c r="D29" i="16"/>
  <c r="E29" i="16"/>
  <c r="F29" i="16" a="1"/>
  <c r="F29" i="16"/>
  <c r="C30" i="16"/>
  <c r="D30" i="16"/>
  <c r="E30" i="16"/>
  <c r="F30" i="16" a="1"/>
  <c r="F30" i="16"/>
  <c r="C31" i="16"/>
  <c r="D31" i="16"/>
  <c r="E31" i="16"/>
  <c r="F31" i="16" a="1"/>
  <c r="F31" i="16"/>
  <c r="C9" i="17"/>
  <c r="G23" i="17"/>
  <c r="G24" i="17" s="1"/>
  <c r="E28" i="25" s="1"/>
  <c r="G19" i="17"/>
  <c r="H8" i="17"/>
  <c r="C8" i="17"/>
  <c r="C4" i="13"/>
  <c r="C5" i="13"/>
  <c r="C6" i="13"/>
  <c r="C7" i="13"/>
  <c r="C8" i="13"/>
  <c r="C9" i="13"/>
  <c r="C10" i="13"/>
  <c r="C11" i="13"/>
  <c r="C12" i="13"/>
  <c r="C3" i="13"/>
  <c r="C22" i="18"/>
  <c r="D22" i="18"/>
  <c r="E22" i="18"/>
  <c r="F22" i="18" a="1"/>
  <c r="F22" i="18" s="1"/>
  <c r="C23" i="18"/>
  <c r="D23" i="18"/>
  <c r="E23" i="18"/>
  <c r="F23" i="18" a="1"/>
  <c r="F23" i="18" s="1"/>
  <c r="C24" i="18"/>
  <c r="D24" i="18"/>
  <c r="E24" i="18"/>
  <c r="F24" i="18" a="1"/>
  <c r="F24" i="18" s="1"/>
  <c r="C25" i="18"/>
  <c r="D25" i="18"/>
  <c r="E25" i="18"/>
  <c r="F25" i="18" a="1"/>
  <c r="F25" i="18" s="1"/>
  <c r="C26" i="18"/>
  <c r="D26" i="18"/>
  <c r="E26" i="18"/>
  <c r="F26" i="18" a="1"/>
  <c r="F26" i="18" s="1"/>
  <c r="C27" i="18"/>
  <c r="D27" i="18"/>
  <c r="E27" i="18"/>
  <c r="F27" i="18" a="1"/>
  <c r="F27" i="18"/>
  <c r="C28" i="18"/>
  <c r="D28" i="18"/>
  <c r="E28" i="18"/>
  <c r="F28" i="18" a="1"/>
  <c r="F28" i="18" s="1"/>
  <c r="C29" i="18"/>
  <c r="D29" i="18"/>
  <c r="E29" i="18"/>
  <c r="F29" i="18" a="1"/>
  <c r="F29" i="18" s="1"/>
  <c r="C30" i="18"/>
  <c r="D30" i="18"/>
  <c r="E30" i="18"/>
  <c r="F30" i="18" a="1"/>
  <c r="F30" i="18" s="1"/>
  <c r="C31" i="18"/>
  <c r="D31" i="18"/>
  <c r="E31" i="18"/>
  <c r="F31" i="18" a="1"/>
  <c r="F31" i="18"/>
  <c r="F22" i="19"/>
  <c r="F21" i="19"/>
  <c r="C14" i="19"/>
  <c r="C22" i="20"/>
  <c r="D22" i="20"/>
  <c r="E22" i="20"/>
  <c r="F22" i="20"/>
  <c r="G22" i="20"/>
  <c r="H22" i="20"/>
  <c r="I22" i="20"/>
  <c r="C23" i="20"/>
  <c r="D23" i="20"/>
  <c r="E23" i="20"/>
  <c r="F23" i="20"/>
  <c r="G23" i="20"/>
  <c r="H23" i="20"/>
  <c r="I23" i="20"/>
  <c r="C24" i="20"/>
  <c r="D24" i="20"/>
  <c r="E24" i="20"/>
  <c r="F24" i="20"/>
  <c r="G24" i="20"/>
  <c r="H24" i="20"/>
  <c r="I24" i="20"/>
  <c r="C25" i="20"/>
  <c r="D25" i="20"/>
  <c r="E25" i="20"/>
  <c r="F25" i="20"/>
  <c r="G25" i="20"/>
  <c r="H25" i="20"/>
  <c r="I25" i="20"/>
  <c r="C26" i="20"/>
  <c r="D26" i="20"/>
  <c r="E26" i="20"/>
  <c r="F26" i="20"/>
  <c r="G26" i="20"/>
  <c r="H26" i="20"/>
  <c r="I26" i="20"/>
  <c r="C27" i="20"/>
  <c r="D27" i="20"/>
  <c r="E27" i="20"/>
  <c r="F27" i="20"/>
  <c r="G27" i="20"/>
  <c r="H27" i="20"/>
  <c r="I27" i="20"/>
  <c r="C28" i="20"/>
  <c r="D28" i="20"/>
  <c r="E28" i="20"/>
  <c r="F28" i="20"/>
  <c r="G28" i="20"/>
  <c r="H28" i="20"/>
  <c r="I28" i="20"/>
  <c r="C29" i="20"/>
  <c r="D29" i="20"/>
  <c r="E29" i="20"/>
  <c r="F29" i="20"/>
  <c r="G29" i="20"/>
  <c r="H29" i="20"/>
  <c r="I29" i="20"/>
  <c r="C30" i="20"/>
  <c r="D30" i="20"/>
  <c r="E30" i="20"/>
  <c r="F30" i="20"/>
  <c r="G30" i="20"/>
  <c r="H30" i="20"/>
  <c r="I30" i="20"/>
  <c r="C12" i="21"/>
  <c r="C10" i="19"/>
  <c r="C7" i="19"/>
  <c r="E36" i="25"/>
  <c r="D40" i="25"/>
  <c r="H3" i="13"/>
  <c r="J4" i="21"/>
  <c r="K4" i="21"/>
  <c r="J5" i="21"/>
  <c r="K5" i="21"/>
  <c r="J6" i="21"/>
  <c r="K6" i="21"/>
  <c r="J7" i="21"/>
  <c r="K7" i="21"/>
  <c r="J8" i="21"/>
  <c r="K8" i="21"/>
  <c r="J9" i="21"/>
  <c r="K9" i="21"/>
  <c r="J10" i="21"/>
  <c r="K10" i="21"/>
  <c r="J11" i="21"/>
  <c r="K11" i="21"/>
  <c r="J12" i="21"/>
  <c r="K12" i="21"/>
  <c r="C4" i="21"/>
  <c r="C4" i="19"/>
  <c r="C5" i="19"/>
  <c r="C6" i="19"/>
  <c r="C8" i="19"/>
  <c r="C9" i="19"/>
  <c r="C11" i="19"/>
  <c r="C12" i="19"/>
  <c r="C13" i="19"/>
  <c r="C15" i="19"/>
  <c r="F7" i="22"/>
  <c r="E17" i="25" s="1"/>
  <c r="G12" i="23"/>
  <c r="G13" i="23" s="1"/>
  <c r="F12" i="23"/>
  <c r="F13" i="23" s="1"/>
  <c r="G8" i="23"/>
  <c r="F8" i="23"/>
  <c r="D22" i="21"/>
  <c r="D18" i="21"/>
  <c r="D19" i="21" s="1"/>
  <c r="E38" i="25" s="1"/>
  <c r="F25" i="19"/>
  <c r="F26" i="19" s="1"/>
  <c r="F22" i="13"/>
  <c r="F23" i="13" s="1"/>
  <c r="G17" i="19"/>
  <c r="F17" i="19"/>
  <c r="G15" i="17"/>
  <c r="G16" i="17" s="1"/>
  <c r="F15" i="17"/>
  <c r="F16" i="17" s="1"/>
  <c r="F8" i="16" s="1"/>
  <c r="G14" i="13"/>
  <c r="G15" i="13" s="1"/>
  <c r="F32" i="10" s="1"/>
  <c r="F14" i="13"/>
  <c r="G20" i="17"/>
  <c r="E35" i="25" s="1"/>
  <c r="F18" i="13"/>
  <c r="F19" i="13" s="1"/>
  <c r="I21" i="20"/>
  <c r="K3" i="21"/>
  <c r="H21" i="20" s="1"/>
  <c r="E14" i="21"/>
  <c r="D14" i="21"/>
  <c r="D15" i="21" s="1"/>
  <c r="I13" i="21"/>
  <c r="H13" i="21"/>
  <c r="G13" i="21"/>
  <c r="J3" i="21"/>
  <c r="G21" i="20" s="1"/>
  <c r="E37" i="25" l="1"/>
  <c r="E40" i="25" s="1"/>
  <c r="E29" i="25" s="1"/>
  <c r="K13" i="21"/>
  <c r="H31" i="20" s="1"/>
  <c r="J13" i="21"/>
  <c r="G31" i="20" s="1"/>
  <c r="D23" i="21"/>
  <c r="E27" i="25" s="1"/>
  <c r="E18" i="25"/>
  <c r="E15" i="21"/>
  <c r="I31" i="20" s="1"/>
  <c r="H11" i="20" s="1"/>
  <c r="H9" i="20"/>
  <c r="E21" i="25" s="1"/>
  <c r="F21" i="20"/>
  <c r="E21" i="20"/>
  <c r="D21" i="20"/>
  <c r="E21" i="18"/>
  <c r="D21" i="18"/>
  <c r="E22" i="16"/>
  <c r="D22" i="16"/>
  <c r="D23" i="10"/>
  <c r="E23" i="10"/>
  <c r="D24" i="10"/>
  <c r="E24" i="10"/>
  <c r="D25" i="10"/>
  <c r="E25" i="10"/>
  <c r="D26" i="10"/>
  <c r="E26" i="10"/>
  <c r="D27" i="10"/>
  <c r="E27" i="10"/>
  <c r="D28" i="10"/>
  <c r="E28" i="10"/>
  <c r="D29" i="10"/>
  <c r="E29" i="10"/>
  <c r="D30" i="10"/>
  <c r="E30" i="10"/>
  <c r="D31" i="10"/>
  <c r="E31" i="10"/>
  <c r="E22" i="10"/>
  <c r="E32" i="10" s="1"/>
  <c r="D22" i="10"/>
  <c r="D21" i="25"/>
  <c r="D20" i="25"/>
  <c r="F21" i="18" a="1"/>
  <c r="F21" i="18" s="1"/>
  <c r="G18" i="19"/>
  <c r="F32" i="18" s="1"/>
  <c r="F18" i="19"/>
  <c r="H4" i="13"/>
  <c r="F23" i="10" s="1" a="1"/>
  <c r="F23" i="10" s="1"/>
  <c r="H5" i="13"/>
  <c r="F24" i="10" s="1" a="1"/>
  <c r="F24" i="10" s="1"/>
  <c r="H6" i="13"/>
  <c r="F25" i="10" s="1" a="1"/>
  <c r="F25" i="10" s="1"/>
  <c r="H7" i="13"/>
  <c r="F26" i="10" s="1" a="1"/>
  <c r="F26" i="10" s="1"/>
  <c r="H8" i="13"/>
  <c r="F27" i="10" s="1" a="1"/>
  <c r="F27" i="10" s="1"/>
  <c r="H9" i="13"/>
  <c r="F28" i="10" s="1" a="1"/>
  <c r="F28" i="10" s="1"/>
  <c r="H10" i="13"/>
  <c r="F29" i="10" s="1" a="1"/>
  <c r="F29" i="10" s="1"/>
  <c r="H11" i="13"/>
  <c r="F30" i="10" s="1" a="1"/>
  <c r="F30" i="10" s="1"/>
  <c r="H12" i="13"/>
  <c r="F31" i="10" s="1" a="1"/>
  <c r="F31" i="10" s="1"/>
  <c r="F22" i="10" a="1"/>
  <c r="F22" i="10" s="1"/>
  <c r="H13" i="17"/>
  <c r="H11" i="17"/>
  <c r="H7" i="17"/>
  <c r="H10" i="17"/>
  <c r="H6" i="17"/>
  <c r="H4" i="17"/>
  <c r="H5" i="17"/>
  <c r="H3" i="17"/>
  <c r="F22" i="16" s="1" a="1"/>
  <c r="F22" i="16" s="1"/>
  <c r="F15" i="13"/>
  <c r="F8" i="10" s="1"/>
  <c r="G9" i="23"/>
  <c r="F9" i="22" s="1"/>
  <c r="F8" i="22"/>
  <c r="F9" i="23"/>
  <c r="F29" i="2"/>
  <c r="F30" i="2" s="1"/>
  <c r="D29" i="2"/>
  <c r="D30" i="2" s="1"/>
  <c r="F10" i="1" s="1"/>
  <c r="F9" i="16"/>
  <c r="E32" i="18" l="1"/>
  <c r="D32" i="18"/>
  <c r="E18" i="21"/>
  <c r="E19" i="21" s="1"/>
  <c r="F10" i="18"/>
  <c r="F8" i="18"/>
  <c r="F9" i="18" s="1"/>
  <c r="I4" i="25"/>
  <c r="D22" i="25"/>
  <c r="D23" i="25" s="1"/>
  <c r="F47" i="22"/>
  <c r="H10" i="20"/>
  <c r="F9" i="10"/>
  <c r="E19" i="25"/>
  <c r="F11" i="1"/>
  <c r="E16" i="25"/>
  <c r="E20" i="25" l="1"/>
  <c r="E23" i="25" s="1"/>
  <c r="F35" i="25" s="1"/>
  <c r="E22" i="21"/>
  <c r="E23" i="21" s="1"/>
  <c r="I5" i="25"/>
  <c r="D26" i="25" s="1"/>
  <c r="D30" i="25" s="1"/>
  <c r="F7" i="25"/>
  <c r="F36" i="25" l="1"/>
  <c r="F39" i="25"/>
  <c r="F37" i="25"/>
  <c r="F34" i="25"/>
  <c r="F38" i="25"/>
  <c r="F33" i="25"/>
  <c r="F27" i="25"/>
  <c r="F28" i="25"/>
  <c r="F16" i="25"/>
  <c r="F8" i="25"/>
  <c r="F22" i="25"/>
  <c r="F21" i="25"/>
  <c r="F20" i="25"/>
  <c r="F17" i="25"/>
  <c r="F18" i="25"/>
  <c r="F19" i="25"/>
  <c r="F40" i="25" l="1"/>
  <c r="F23" i="25"/>
  <c r="F31" i="20"/>
  <c r="C47" i="22"/>
  <c r="D46" i="22"/>
  <c r="E46" i="22"/>
  <c r="D47" i="22"/>
  <c r="D48" i="22" s="1"/>
  <c r="E47" i="22"/>
  <c r="E48" i="22" s="1"/>
  <c r="F48" i="22"/>
  <c r="D32" i="10" l="1"/>
  <c r="C10" i="21"/>
  <c r="C9" i="21"/>
  <c r="C8" i="21"/>
  <c r="C7" i="21"/>
  <c r="C6" i="21"/>
  <c r="C5" i="21"/>
  <c r="C3" i="21"/>
  <c r="C21" i="20" s="1"/>
  <c r="D31" i="20" l="1"/>
  <c r="F32" i="16"/>
  <c r="F10" i="16" s="1"/>
  <c r="E31" i="20"/>
  <c r="F12" i="1" l="1"/>
  <c r="C3" i="19"/>
  <c r="C21" i="18" s="1"/>
  <c r="C13" i="17" l="1"/>
  <c r="C11" i="17"/>
  <c r="C10" i="17"/>
  <c r="C7" i="17"/>
  <c r="C6" i="17"/>
  <c r="C5" i="17"/>
  <c r="C4" i="17"/>
  <c r="C3" i="17"/>
  <c r="C22" i="16" s="1"/>
  <c r="E32" i="16"/>
  <c r="D32" i="16"/>
  <c r="C31" i="10"/>
  <c r="C30" i="10"/>
  <c r="C28" i="10"/>
  <c r="C29" i="10"/>
  <c r="C27" i="10"/>
  <c r="C23" i="10"/>
  <c r="C24" i="10"/>
  <c r="C25" i="10"/>
  <c r="C26" i="10"/>
  <c r="C22" i="10"/>
  <c r="F10" i="10" l="1"/>
  <c r="J4" i="25"/>
  <c r="J5" i="25" l="1"/>
  <c r="E26" i="25" s="1"/>
  <c r="F26" i="25" s="1"/>
  <c r="F29" i="25"/>
  <c r="F30" i="25" l="1"/>
  <c r="E30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<sst xmlns="http://schemas.openxmlformats.org/spreadsheetml/2006/main" count="455" uniqueCount="196">
  <si>
    <t>On air dates:</t>
  </si>
  <si>
    <t>Buying audience:</t>
  </si>
  <si>
    <t>Frequency goal:</t>
  </si>
  <si>
    <t>Sydney</t>
  </si>
  <si>
    <t>Melbourne</t>
  </si>
  <si>
    <t>Brisbane</t>
  </si>
  <si>
    <t>Adelaide</t>
  </si>
  <si>
    <t>Perth</t>
  </si>
  <si>
    <t>VIC</t>
  </si>
  <si>
    <t>QLD</t>
  </si>
  <si>
    <t>Bought</t>
  </si>
  <si>
    <t>Note: Please ensure you are using tarps minus stv in the below</t>
  </si>
  <si>
    <t xml:space="preserve">Metro 5 City Panel Plus Subscription, w35-54, MxM </t>
  </si>
  <si>
    <t xml:space="preserve">Regional Panel Plus Subscription, w35-54, MxM </t>
  </si>
  <si>
    <t>xx</t>
  </si>
  <si>
    <t>*Refer to Overview Data tab in BRAT to complete data tables</t>
  </si>
  <si>
    <t>Syd</t>
  </si>
  <si>
    <t>Melb</t>
  </si>
  <si>
    <t>Bris</t>
  </si>
  <si>
    <t>Adel</t>
  </si>
  <si>
    <t>Northern NSW Aggregated</t>
  </si>
  <si>
    <t>Nth NSW</t>
  </si>
  <si>
    <t>Southern NSW Aggregated</t>
  </si>
  <si>
    <t>Sth NSW</t>
  </si>
  <si>
    <t>Victoria Aggregated</t>
  </si>
  <si>
    <t>Queensland Aggregated</t>
  </si>
  <si>
    <t>Tasmania Aggregated</t>
  </si>
  <si>
    <t>Tas</t>
  </si>
  <si>
    <t>REACH</t>
  </si>
  <si>
    <t>TARPs</t>
  </si>
  <si>
    <t>Network</t>
  </si>
  <si>
    <t>SAS</t>
  </si>
  <si>
    <t>SCA</t>
  </si>
  <si>
    <t>SBS</t>
  </si>
  <si>
    <t>Seven</t>
  </si>
  <si>
    <t>Nine</t>
  </si>
  <si>
    <t>Ten</t>
  </si>
  <si>
    <t>SBS Metro</t>
  </si>
  <si>
    <t>SBS Regional</t>
  </si>
  <si>
    <t>WIN</t>
  </si>
  <si>
    <t>Seven Affiliate Sales</t>
  </si>
  <si>
    <t>Southern Cross Austereo</t>
  </si>
  <si>
    <t>Network Ten</t>
  </si>
  <si>
    <t>Network Nine</t>
  </si>
  <si>
    <t>Chart name</t>
  </si>
  <si>
    <t>Network Seven</t>
  </si>
  <si>
    <t>Campaign details</t>
  </si>
  <si>
    <t>TVC durations:</t>
  </si>
  <si>
    <t>Peak / off peak:</t>
  </si>
  <si>
    <t>CAD rating</t>
  </si>
  <si>
    <t>Delivered</t>
  </si>
  <si>
    <t>Planned</t>
  </si>
  <si>
    <t>Department or organisation</t>
  </si>
  <si>
    <t>Campaign name</t>
  </si>
  <si>
    <t>Surplus</t>
  </si>
  <si>
    <t>Client contact name</t>
  </si>
  <si>
    <t>Buying audience</t>
  </si>
  <si>
    <t>Campaign timing</t>
  </si>
  <si>
    <t>Plan date</t>
  </si>
  <si>
    <t>MAMS number</t>
  </si>
  <si>
    <t>Plan version</t>
  </si>
  <si>
    <t>X</t>
  </si>
  <si>
    <t>Media Type</t>
  </si>
  <si>
    <t>Total Nett Spend</t>
  </si>
  <si>
    <t>Total Nett Share</t>
  </si>
  <si>
    <t>Television</t>
  </si>
  <si>
    <t>Cinema</t>
  </si>
  <si>
    <t>Press</t>
  </si>
  <si>
    <t>Radio</t>
  </si>
  <si>
    <t>Digital - Direct</t>
  </si>
  <si>
    <t>Digital - Biddable</t>
  </si>
  <si>
    <t>Outdoor</t>
  </si>
  <si>
    <t>Total</t>
  </si>
  <si>
    <t>Total Nett Budget</t>
  </si>
  <si>
    <t>Market</t>
  </si>
  <si>
    <t>Nett Spend</t>
  </si>
  <si>
    <t>Metro</t>
  </si>
  <si>
    <t>Regional</t>
  </si>
  <si>
    <t>CALD</t>
  </si>
  <si>
    <t>Television (Not Included in Total CALD Split)</t>
  </si>
  <si>
    <t>In-market dates:</t>
  </si>
  <si>
    <t>Durations:</t>
  </si>
  <si>
    <t>Dayparts</t>
  </si>
  <si>
    <t>NOVA</t>
  </si>
  <si>
    <t>ARN</t>
  </si>
  <si>
    <t>LEBA</t>
  </si>
  <si>
    <t>TRSN</t>
  </si>
  <si>
    <t>Metro Network</t>
  </si>
  <si>
    <t>Chart Station Name</t>
  </si>
  <si>
    <t>Regional Network</t>
  </si>
  <si>
    <t>CALD Network</t>
  </si>
  <si>
    <t>xxx</t>
  </si>
  <si>
    <t>Campaign Delivery</t>
  </si>
  <si>
    <t>Spends (Gross)</t>
  </si>
  <si>
    <t>Bonus (Gross)</t>
  </si>
  <si>
    <t>Spots Delivered</t>
  </si>
  <si>
    <t>Spots Booked</t>
  </si>
  <si>
    <t>Placement</t>
  </si>
  <si>
    <t>Ad Sizes</t>
  </si>
  <si>
    <t>Metro Publisher</t>
  </si>
  <si>
    <t>Regional Publisher</t>
  </si>
  <si>
    <t>RMC</t>
  </si>
  <si>
    <t>ACM</t>
  </si>
  <si>
    <t>BOFB</t>
  </si>
  <si>
    <t>Inserts Booked</t>
  </si>
  <si>
    <t>Inserts Delivered</t>
  </si>
  <si>
    <t>JCDecaux</t>
  </si>
  <si>
    <t>Panels Booked</t>
  </si>
  <si>
    <t>Panels Delivered</t>
  </si>
  <si>
    <t>Metro Provider</t>
  </si>
  <si>
    <t>Regional Provider</t>
  </si>
  <si>
    <t>CALD Provider</t>
  </si>
  <si>
    <t>Various - Refer to Media Plan</t>
  </si>
  <si>
    <t>Standard Display</t>
  </si>
  <si>
    <t>Impressions Booked</t>
  </si>
  <si>
    <t>Impressions Delivered</t>
  </si>
  <si>
    <t>InMobi</t>
  </si>
  <si>
    <t>S&amp;J (Weibo)</t>
  </si>
  <si>
    <t>DD/MM/YY - DD/MM/YY</t>
  </si>
  <si>
    <t xml:space="preserve">DD/MM/YY - DD/MM/YY </t>
  </si>
  <si>
    <t>Client contact email</t>
  </si>
  <si>
    <t xml:space="preserve">Client contact phone no. </t>
  </si>
  <si>
    <t>Val Morgan</t>
  </si>
  <si>
    <t xml:space="preserve">Delivered Audience </t>
  </si>
  <si>
    <t>Est Audience</t>
  </si>
  <si>
    <t>Booked Impressions</t>
  </si>
  <si>
    <t>Delivered Impressions</t>
  </si>
  <si>
    <t>Tier</t>
  </si>
  <si>
    <t>Media Task:</t>
  </si>
  <si>
    <t>Campaign Commentary:</t>
  </si>
  <si>
    <t>Total media investment (Nett)</t>
  </si>
  <si>
    <t>B or C</t>
  </si>
  <si>
    <t>Highlights - what worked?</t>
  </si>
  <si>
    <t>Learnings - what didn’t work?  Why?</t>
  </si>
  <si>
    <t>Media &amp; Delivery</t>
  </si>
  <si>
    <t>Process</t>
  </si>
  <si>
    <t>Campaign Effectiveness</t>
  </si>
  <si>
    <t>Budget (Nett):</t>
  </si>
  <si>
    <t>Spend (Nett):</t>
  </si>
  <si>
    <t>Savings (Nett):</t>
  </si>
  <si>
    <t>Bonus Value @ Client (Nett):</t>
  </si>
  <si>
    <t>TV Commentary</t>
  </si>
  <si>
    <t>Cinema Commentary:</t>
  </si>
  <si>
    <t>Bonus (Nett)</t>
  </si>
  <si>
    <t>Bonus @ Client Rates (Nett)</t>
  </si>
  <si>
    <t>CPM</t>
  </si>
  <si>
    <t>Average CPM / CTR</t>
  </si>
  <si>
    <t>CTR/VTR</t>
  </si>
  <si>
    <t>Delivered Clicks / Views</t>
  </si>
  <si>
    <t>Clicks/Views Delivered</t>
  </si>
  <si>
    <t>CTR / VTR</t>
  </si>
  <si>
    <t>Provider</t>
  </si>
  <si>
    <t>Consumer Engagement</t>
  </si>
  <si>
    <t>Publisher</t>
  </si>
  <si>
    <t>Recommendation(s) / Solutions</t>
  </si>
  <si>
    <t>Regional Press</t>
  </si>
  <si>
    <t>Metro budget</t>
  </si>
  <si>
    <t>Metro spend</t>
  </si>
  <si>
    <t>Regional spend</t>
  </si>
  <si>
    <t>Regional budget*</t>
  </si>
  <si>
    <t>Metro budget auto calculates.</t>
  </si>
  <si>
    <t>Regional spend auto calculates.</t>
  </si>
  <si>
    <t>Add from plan</t>
  </si>
  <si>
    <t>Dept of XXX</t>
  </si>
  <si>
    <t>XXXX</t>
  </si>
  <si>
    <t>XXXXX</t>
  </si>
  <si>
    <t>SXX/XX</t>
  </si>
  <si>
    <t>XXX</t>
  </si>
  <si>
    <t>SMD Market</t>
  </si>
  <si>
    <t>GROSS</t>
  </si>
  <si>
    <t>NETT</t>
  </si>
  <si>
    <t>xx/xx/xxxx - xx/xx/xxxx</t>
  </si>
  <si>
    <t>REGIONAL</t>
  </si>
  <si>
    <t>ATN</t>
  </si>
  <si>
    <t>The Media Shop</t>
  </si>
  <si>
    <t>Locus Outdoor</t>
  </si>
  <si>
    <t>QMS</t>
  </si>
  <si>
    <t>Gawk Outdoor</t>
  </si>
  <si>
    <t>NINE</t>
  </si>
  <si>
    <t>TEN</t>
  </si>
  <si>
    <t>SEEK</t>
  </si>
  <si>
    <t>Learnings - what didn’t work? Why?</t>
  </si>
  <si>
    <t>oOh! Media</t>
  </si>
  <si>
    <t>Val Morgan Outdoor</t>
  </si>
  <si>
    <t>UPDATE WITH RELEVANT MOVIES - From the PCR sent through by Media Provider</t>
  </si>
  <si>
    <t>VMO</t>
  </si>
  <si>
    <t>Cartology (Shopper)</t>
  </si>
  <si>
    <t>S&amp;J</t>
  </si>
  <si>
    <t>CNAV</t>
  </si>
  <si>
    <t>Newscorp</t>
  </si>
  <si>
    <t>*Please note this document is not applicable for the purpose of financial / invoice reconciliation.
Amounts are nett media only, and exclude MAMS fees, GST, production, translation and adserving*</t>
  </si>
  <si>
    <t>Campaign/Functional/Recruitment</t>
  </si>
  <si>
    <t>Campaign / Functional / Recruitment</t>
  </si>
  <si>
    <t>HIDE THE ABOVE BEFORE SENDING TO THE PLANNING TEAM</t>
  </si>
  <si>
    <t xml:space="preserve">Add Activations here: </t>
  </si>
  <si>
    <r>
      <t xml:space="preserve">Figure in blue need to be added from </t>
    </r>
    <r>
      <rPr>
        <b/>
        <u/>
        <sz val="12"/>
        <color theme="6"/>
        <rFont val="Arial"/>
        <family val="2"/>
        <scheme val="major"/>
      </rPr>
      <t>Activations PCR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</si>
</sst>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"/>
    <numFmt numFmtId="165" formatCode="0.0%"/>
    <numFmt numFmtId="166" formatCode="&quot;$&quot;#,##0.00"/>
    <numFmt numFmtId="167" formatCode="_-&quot;$&quot;* #,##0_-;\-&quot;$&quot;* #,##0_-;_-&quot;$&quot;* &quot;-&quot;??_-;_-@_-"/>
    <numFmt numFmtId="168" formatCode="_-* #,##0_-;\-* #,##0_-;_-* &quot;-&quot;??_-;_-@_-"/>
  </numFmts>
  <fonts count="55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Times New Roman"/>
      <family val="1"/>
    </font>
    <font>
      <sz val="16"/>
      <color theme="1"/>
      <name val="Arial"/>
      <family val="2"/>
      <scheme val="minor"/>
    </font>
    <font>
      <sz val="20"/>
      <name val="Arial"/>
      <family val="2"/>
      <scheme val="minor"/>
    </font>
    <font>
      <b/>
      <u/>
      <sz val="26"/>
      <color theme="1"/>
      <name val="Arial"/>
      <family val="2"/>
      <scheme val="minor"/>
    </font>
    <font>
      <sz val="16"/>
      <name val="Arial"/>
      <family val="2"/>
      <scheme val="minor"/>
    </font>
    <font>
      <b/>
      <sz val="18"/>
      <name val="Arial"/>
      <family val="2"/>
      <scheme val="minor"/>
    </font>
    <font>
      <sz val="11"/>
      <name val="Arial"/>
      <family val="2"/>
      <scheme val="minor"/>
    </font>
    <font>
      <b/>
      <sz val="28"/>
      <name val="Arial (Body)"/>
    </font>
    <font>
      <b/>
      <sz val="16"/>
      <color theme="0"/>
      <name val="Arial"/>
      <family val="2"/>
      <scheme val="minor"/>
    </font>
    <font>
      <sz val="7"/>
      <name val="Arial"/>
      <family val="2"/>
    </font>
    <font>
      <b/>
      <sz val="28"/>
      <color theme="6"/>
      <name val="Arial (Body)"/>
    </font>
    <font>
      <b/>
      <u/>
      <sz val="28"/>
      <color theme="6"/>
      <name val="Arial"/>
      <family val="2"/>
      <scheme val="minor"/>
    </font>
    <font>
      <sz val="11"/>
      <color theme="6"/>
      <name val="Arial"/>
      <family val="2"/>
      <scheme val="minor"/>
    </font>
    <font>
      <b/>
      <sz val="28"/>
      <color theme="6"/>
      <name val="Arial"/>
      <family val="2"/>
      <scheme val="minor"/>
    </font>
    <font>
      <sz val="11"/>
      <color theme="0"/>
      <name val="Arial"/>
      <family val="2"/>
      <scheme val="minor"/>
    </font>
    <font>
      <sz val="16"/>
      <color theme="0"/>
      <name val="Arial"/>
      <family val="2"/>
      <scheme val="minor"/>
    </font>
    <font>
      <b/>
      <sz val="28"/>
      <color theme="6" tint="-0.249977111117893"/>
      <name val="Arial (Body)"/>
    </font>
    <font>
      <b/>
      <u/>
      <sz val="28"/>
      <color theme="6" tint="-0.249977111117893"/>
      <name val="Arial"/>
      <family val="2"/>
      <scheme val="minor"/>
    </font>
    <font>
      <b/>
      <sz val="18"/>
      <color theme="4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FF0000"/>
      <name val="Arial"/>
      <family val="2"/>
      <scheme val="minor"/>
    </font>
    <font>
      <i/>
      <sz val="12"/>
      <color rgb="FFFF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name val="Arial"/>
      <family val="2"/>
      <scheme val="minor"/>
    </font>
    <font>
      <sz val="12"/>
      <color theme="1"/>
      <name val="Arial"/>
      <family val="2"/>
      <scheme val="major"/>
    </font>
    <font>
      <b/>
      <sz val="12"/>
      <color theme="0"/>
      <name val="Arial"/>
      <family val="2"/>
      <scheme val="major"/>
    </font>
    <font>
      <b/>
      <sz val="12"/>
      <name val="Arial"/>
      <family val="2"/>
      <scheme val="major"/>
    </font>
    <font>
      <b/>
      <sz val="12"/>
      <color theme="1"/>
      <name val="Arial"/>
      <family val="2"/>
      <scheme val="major"/>
    </font>
    <font>
      <sz val="11"/>
      <color theme="1"/>
      <name val="Arial"/>
      <family val="2"/>
      <scheme val="major"/>
    </font>
    <font>
      <sz val="15"/>
      <color theme="1"/>
      <name val="Arial"/>
      <family val="2"/>
      <scheme val="minor"/>
    </font>
    <font>
      <b/>
      <sz val="28"/>
      <name val="Arial"/>
      <family val="2"/>
      <scheme val="major"/>
    </font>
    <font>
      <sz val="20"/>
      <name val="Arial"/>
      <family val="2"/>
      <scheme val="major"/>
    </font>
    <font>
      <b/>
      <sz val="16"/>
      <color theme="0"/>
      <name val="Arial"/>
      <family val="2"/>
      <scheme val="major"/>
    </font>
    <font>
      <sz val="16"/>
      <name val="Arial"/>
      <family val="2"/>
      <scheme val="major"/>
    </font>
    <font>
      <b/>
      <sz val="28"/>
      <color theme="6"/>
      <name val="Arial"/>
      <family val="2"/>
      <scheme val="major"/>
    </font>
    <font>
      <b/>
      <u/>
      <sz val="28"/>
      <color theme="6"/>
      <name val="Arial"/>
      <family val="2"/>
      <scheme val="major"/>
    </font>
    <font>
      <sz val="15"/>
      <color theme="1"/>
      <name val="Arial"/>
      <family val="2"/>
      <scheme val="major"/>
    </font>
    <font>
      <sz val="16"/>
      <color theme="1"/>
      <name val="Arial"/>
      <family val="2"/>
      <scheme val="major"/>
    </font>
    <font>
      <sz val="11"/>
      <color theme="0"/>
      <name val="Arial"/>
      <family val="2"/>
      <scheme val="major"/>
    </font>
    <font>
      <sz val="14"/>
      <color theme="1"/>
      <name val="Arial"/>
      <family val="2"/>
      <scheme val="major"/>
    </font>
    <font>
      <b/>
      <u/>
      <sz val="26"/>
      <color theme="1"/>
      <name val="Arial"/>
      <family val="2"/>
      <scheme val="major"/>
    </font>
    <font>
      <b/>
      <u/>
      <sz val="28"/>
      <color theme="6" tint="-0.249977111117893"/>
      <name val="Arial"/>
      <family val="2"/>
      <scheme val="major"/>
    </font>
    <font>
      <b/>
      <sz val="18"/>
      <name val="Arial"/>
      <family val="2"/>
      <scheme val="major"/>
    </font>
    <font>
      <b/>
      <u/>
      <sz val="15"/>
      <color rgb="FFFF0000"/>
      <name val="Arial"/>
      <family val="2"/>
      <scheme val="major"/>
    </font>
    <font>
      <i/>
      <sz val="16"/>
      <name val="Arial"/>
      <family val="2"/>
      <scheme val="major"/>
    </font>
    <font>
      <b/>
      <i/>
      <sz val="18"/>
      <color theme="6" tint="-0.249977111117893"/>
      <name val="Arial"/>
      <family val="2"/>
      <scheme val="major"/>
    </font>
    <font>
      <sz val="11"/>
      <color theme="6"/>
      <name val="Arial"/>
      <family val="2"/>
      <scheme val="major"/>
    </font>
    <font>
      <b/>
      <sz val="12"/>
      <color theme="6"/>
      <name val="Arial"/>
      <family val="2"/>
      <scheme val="major"/>
    </font>
    <font>
      <i/>
      <sz val="12"/>
      <color theme="1"/>
      <name val="Arial"/>
      <family val="2"/>
      <scheme val="major"/>
    </font>
    <font>
      <i/>
      <sz val="12"/>
      <name val="Arial"/>
      <family val="2"/>
      <scheme val="major"/>
    </font>
    <font>
      <b/>
      <u/>
      <sz val="12"/>
      <color theme="4"/>
      <name val="Arial"/>
      <family val="2"/>
      <scheme val="major"/>
    </font>
    <font>
      <b/>
      <u/>
      <sz val="12"/>
      <color theme="6"/>
      <name val="Aria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6" tint="-0.499984740745262"/>
      </bottom>
      <diagonal/>
    </border>
    <border>
      <left/>
      <right/>
      <top/>
      <bottom style="thin">
        <color theme="6" tint="-0.24994659260841701"/>
      </bottom>
      <diagonal/>
    </border>
    <border>
      <left/>
      <right/>
      <top/>
      <bottom style="thin">
        <color theme="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</cellStyleXfs>
  <cellXfs count="55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9" fillId="0" borderId="0" xfId="3" applyFont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4" fillId="0" borderId="9" xfId="3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9" xfId="0" applyBorder="1" applyAlignment="1">
      <alignment vertical="top"/>
    </xf>
    <xf numFmtId="0" fontId="7" fillId="0" borderId="10" xfId="3" applyFont="1" applyBorder="1" applyAlignment="1">
      <alignment vertical="top"/>
    </xf>
    <xf numFmtId="0" fontId="7" fillId="0" borderId="10" xfId="3" applyFont="1" applyBorder="1" applyAlignment="1">
      <alignment horizontal="center" vertical="center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3" fillId="3" borderId="0" xfId="0" applyFont="1" applyFill="1"/>
    <xf numFmtId="44" fontId="3" fillId="3" borderId="0" xfId="1" applyFont="1" applyFill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9" fillId="0" borderId="19" xfId="3" applyFont="1" applyBorder="1" applyAlignment="1">
      <alignment horizontal="center" vertical="center"/>
    </xf>
    <xf numFmtId="0" fontId="9" fillId="0" borderId="20" xfId="3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166" fontId="6" fillId="0" borderId="20" xfId="1" applyNumberFormat="1" applyFont="1" applyFill="1" applyBorder="1" applyAlignment="1">
      <alignment horizontal="left" vertical="center"/>
    </xf>
    <xf numFmtId="0" fontId="3" fillId="0" borderId="20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168" fontId="3" fillId="3" borderId="0" xfId="6" applyNumberFormat="1" applyFont="1" applyFill="1"/>
    <xf numFmtId="0" fontId="10" fillId="4" borderId="0" xfId="5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4" borderId="25" xfId="0" applyFont="1" applyFill="1" applyBorder="1" applyAlignment="1">
      <alignment horizontal="center" vertical="center"/>
    </xf>
    <xf numFmtId="168" fontId="10" fillId="4" borderId="0" xfId="6" applyNumberFormat="1" applyFont="1" applyFill="1" applyAlignment="1">
      <alignment horizontal="center" vertical="center"/>
    </xf>
    <xf numFmtId="44" fontId="10" fillId="4" borderId="0" xfId="1" applyFont="1" applyFill="1" applyAlignment="1">
      <alignment horizontal="center" vertical="center"/>
    </xf>
    <xf numFmtId="166" fontId="17" fillId="0" borderId="20" xfId="1" applyNumberFormat="1" applyFont="1" applyFill="1" applyBorder="1" applyAlignment="1">
      <alignment horizontal="left" vertical="center"/>
    </xf>
    <xf numFmtId="0" fontId="16" fillId="0" borderId="10" xfId="0" applyFont="1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4" xfId="0" applyBorder="1" applyAlignment="1">
      <alignment vertical="center"/>
    </xf>
    <xf numFmtId="0" fontId="10" fillId="4" borderId="26" xfId="0" applyFont="1" applyFill="1" applyBorder="1" applyAlignment="1">
      <alignment horizontal="center" vertical="center"/>
    </xf>
    <xf numFmtId="0" fontId="3" fillId="3" borderId="19" xfId="0" applyFont="1" applyFill="1" applyBorder="1"/>
    <xf numFmtId="0" fontId="0" fillId="0" borderId="3" xfId="0" applyBorder="1" applyAlignment="1">
      <alignment vertical="center"/>
    </xf>
    <xf numFmtId="9" fontId="21" fillId="4" borderId="31" xfId="2" applyFont="1" applyFill="1" applyBorder="1" applyAlignment="1">
      <alignment horizontal="center" vertical="center" wrapText="1"/>
    </xf>
    <xf numFmtId="0" fontId="21" fillId="4" borderId="42" xfId="0" applyFont="1" applyFill="1" applyBorder="1" applyAlignment="1">
      <alignment vertical="center"/>
    </xf>
    <xf numFmtId="0" fontId="21" fillId="4" borderId="3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1" fillId="4" borderId="30" xfId="3" applyFont="1" applyFill="1" applyBorder="1" applyAlignment="1">
      <alignment vertical="center"/>
    </xf>
    <xf numFmtId="165" fontId="22" fillId="0" borderId="0" xfId="2" applyNumberFormat="1" applyFont="1" applyAlignment="1">
      <alignment vertical="center"/>
    </xf>
    <xf numFmtId="165" fontId="22" fillId="0" borderId="0" xfId="0" applyNumberFormat="1" applyFont="1" applyAlignment="1">
      <alignment vertical="center"/>
    </xf>
    <xf numFmtId="0" fontId="26" fillId="0" borderId="16" xfId="3" applyFont="1" applyBorder="1" applyAlignment="1">
      <alignment vertical="center"/>
    </xf>
    <xf numFmtId="9" fontId="22" fillId="0" borderId="18" xfId="2" applyFont="1" applyFill="1" applyBorder="1" applyAlignment="1">
      <alignment horizontal="center" vertical="center"/>
    </xf>
    <xf numFmtId="0" fontId="26" fillId="0" borderId="82" xfId="3" applyFont="1" applyBorder="1" applyAlignment="1">
      <alignment vertical="center"/>
    </xf>
    <xf numFmtId="9" fontId="22" fillId="0" borderId="69" xfId="2" applyFont="1" applyFill="1" applyBorder="1" applyAlignment="1">
      <alignment horizontal="center" vertical="center"/>
    </xf>
    <xf numFmtId="0" fontId="26" fillId="0" borderId="83" xfId="3" applyFont="1" applyBorder="1" applyAlignment="1">
      <alignment vertical="center"/>
    </xf>
    <xf numFmtId="9" fontId="22" fillId="0" borderId="80" xfId="2" applyFont="1" applyFill="1" applyBorder="1" applyAlignment="1">
      <alignment horizontal="center" vertical="center"/>
    </xf>
    <xf numFmtId="0" fontId="25" fillId="0" borderId="82" xfId="0" applyFont="1" applyBorder="1" applyAlignment="1">
      <alignment vertical="center"/>
    </xf>
    <xf numFmtId="0" fontId="25" fillId="0" borderId="83" xfId="0" applyFont="1" applyBorder="1" applyAlignment="1">
      <alignment vertical="center"/>
    </xf>
    <xf numFmtId="0" fontId="25" fillId="0" borderId="84" xfId="0" applyFont="1" applyBorder="1" applyAlignment="1">
      <alignment vertical="center"/>
    </xf>
    <xf numFmtId="9" fontId="22" fillId="0" borderId="70" xfId="2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17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22" fillId="0" borderId="39" xfId="0" applyFont="1" applyBorder="1" applyAlignment="1">
      <alignment vertical="center"/>
    </xf>
    <xf numFmtId="44" fontId="22" fillId="0" borderId="0" xfId="0" applyNumberFormat="1" applyFont="1" applyAlignment="1">
      <alignment vertical="center"/>
    </xf>
    <xf numFmtId="167" fontId="22" fillId="0" borderId="0" xfId="1" applyNumberFormat="1" applyFont="1" applyAlignment="1">
      <alignment vertical="center"/>
    </xf>
    <xf numFmtId="44" fontId="22" fillId="0" borderId="0" xfId="1" applyFont="1" applyAlignment="1">
      <alignment vertical="center"/>
    </xf>
    <xf numFmtId="0" fontId="21" fillId="4" borderId="30" xfId="3" applyFont="1" applyFill="1" applyBorder="1" applyAlignment="1">
      <alignment horizontal="right" vertical="center"/>
    </xf>
    <xf numFmtId="0" fontId="21" fillId="4" borderId="30" xfId="0" applyFont="1" applyFill="1" applyBorder="1" applyAlignment="1">
      <alignment horizontal="center" vertical="center"/>
    </xf>
    <xf numFmtId="9" fontId="22" fillId="0" borderId="16" xfId="2" applyFont="1" applyFill="1" applyBorder="1" applyAlignment="1">
      <alignment horizontal="center" vertical="center"/>
    </xf>
    <xf numFmtId="9" fontId="22" fillId="0" borderId="82" xfId="2" applyFont="1" applyFill="1" applyBorder="1" applyAlignment="1">
      <alignment horizontal="center" vertical="center"/>
    </xf>
    <xf numFmtId="9" fontId="22" fillId="0" borderId="83" xfId="2" applyFont="1" applyFill="1" applyBorder="1" applyAlignment="1">
      <alignment horizontal="center" vertical="center"/>
    </xf>
    <xf numFmtId="9" fontId="22" fillId="0" borderId="84" xfId="2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2" fillId="2" borderId="82" xfId="0" applyFont="1" applyFill="1" applyBorder="1" applyAlignment="1">
      <alignment horizontal="center" vertical="center"/>
    </xf>
    <xf numFmtId="0" fontId="22" fillId="2" borderId="69" xfId="0" applyFont="1" applyFill="1" applyBorder="1" applyAlignment="1">
      <alignment horizontal="center" vertical="center"/>
    </xf>
    <xf numFmtId="0" fontId="22" fillId="2" borderId="83" xfId="0" applyFont="1" applyFill="1" applyBorder="1" applyAlignment="1">
      <alignment horizontal="center" vertical="center"/>
    </xf>
    <xf numFmtId="0" fontId="22" fillId="2" borderId="80" xfId="0" applyFont="1" applyFill="1" applyBorder="1" applyAlignment="1">
      <alignment horizontal="center" vertical="center"/>
    </xf>
    <xf numFmtId="0" fontId="22" fillId="2" borderId="84" xfId="0" applyFont="1" applyFill="1" applyBorder="1" applyAlignment="1">
      <alignment horizontal="center" vertical="center"/>
    </xf>
    <xf numFmtId="0" fontId="22" fillId="2" borderId="70" xfId="0" applyFont="1" applyFill="1" applyBorder="1" applyAlignment="1">
      <alignment horizontal="center" vertical="center"/>
    </xf>
    <xf numFmtId="0" fontId="10" fillId="4" borderId="32" xfId="3" applyFont="1" applyFill="1" applyBorder="1" applyAlignment="1">
      <alignment horizontal="left" vertical="center"/>
    </xf>
    <xf numFmtId="17" fontId="6" fillId="2" borderId="32" xfId="3" applyNumberFormat="1" applyFont="1" applyFill="1" applyBorder="1" applyAlignment="1">
      <alignment horizontal="left" vertical="center"/>
    </xf>
    <xf numFmtId="17" fontId="6" fillId="3" borderId="32" xfId="3" applyNumberFormat="1" applyFont="1" applyFill="1" applyBorder="1" applyAlignment="1">
      <alignment horizontal="left" vertical="center"/>
    </xf>
    <xf numFmtId="164" fontId="10" fillId="4" borderId="32" xfId="1" applyNumberFormat="1" applyFont="1" applyFill="1" applyBorder="1" applyAlignment="1">
      <alignment horizontal="left" vertical="center"/>
    </xf>
    <xf numFmtId="0" fontId="10" fillId="4" borderId="43" xfId="3" applyFont="1" applyFill="1" applyBorder="1" applyAlignment="1">
      <alignment horizontal="left" vertical="center"/>
    </xf>
    <xf numFmtId="17" fontId="6" fillId="2" borderId="34" xfId="3" applyNumberFormat="1" applyFont="1" applyFill="1" applyBorder="1" applyAlignment="1">
      <alignment horizontal="left" vertical="center"/>
    </xf>
    <xf numFmtId="0" fontId="10" fillId="4" borderId="34" xfId="3" applyFont="1" applyFill="1" applyBorder="1" applyAlignment="1">
      <alignment horizontal="left" vertical="center"/>
    </xf>
    <xf numFmtId="17" fontId="6" fillId="2" borderId="44" xfId="3" applyNumberFormat="1" applyFont="1" applyFill="1" applyBorder="1" applyAlignment="1">
      <alignment horizontal="left" vertical="center"/>
    </xf>
    <xf numFmtId="0" fontId="10" fillId="4" borderId="45" xfId="3" applyFont="1" applyFill="1" applyBorder="1" applyAlignment="1">
      <alignment horizontal="left" vertical="center"/>
    </xf>
    <xf numFmtId="164" fontId="6" fillId="3" borderId="46" xfId="1" applyNumberFormat="1" applyFont="1" applyFill="1" applyBorder="1" applyAlignment="1">
      <alignment horizontal="left" vertical="center"/>
    </xf>
    <xf numFmtId="164" fontId="6" fillId="2" borderId="46" xfId="1" applyNumberFormat="1" applyFont="1" applyFill="1" applyBorder="1" applyAlignment="1">
      <alignment horizontal="left" vertical="center"/>
    </xf>
    <xf numFmtId="164" fontId="6" fillId="3" borderId="46" xfId="3" applyNumberFormat="1" applyFont="1" applyFill="1" applyBorder="1" applyAlignment="1">
      <alignment horizontal="left" vertical="center"/>
    </xf>
    <xf numFmtId="164" fontId="10" fillId="4" borderId="47" xfId="1" applyNumberFormat="1" applyFont="1" applyFill="1" applyBorder="1" applyAlignment="1">
      <alignment horizontal="left" vertical="center"/>
    </xf>
    <xf numFmtId="17" fontId="6" fillId="2" borderId="40" xfId="3" applyNumberFormat="1" applyFont="1" applyFill="1" applyBorder="1" applyAlignment="1">
      <alignment horizontal="left" vertical="center"/>
    </xf>
    <xf numFmtId="164" fontId="10" fillId="4" borderId="40" xfId="1" applyNumberFormat="1" applyFont="1" applyFill="1" applyBorder="1" applyAlignment="1">
      <alignment horizontal="left" vertical="center"/>
    </xf>
    <xf numFmtId="164" fontId="6" fillId="2" borderId="48" xfId="1" applyNumberFormat="1" applyFont="1" applyFill="1" applyBorder="1" applyAlignment="1">
      <alignment horizontal="left" vertical="center"/>
    </xf>
    <xf numFmtId="17" fontId="6" fillId="3" borderId="46" xfId="3" applyNumberFormat="1" applyFont="1" applyFill="1" applyBorder="1" applyAlignment="1">
      <alignment horizontal="left" vertical="center"/>
    </xf>
    <xf numFmtId="0" fontId="10" fillId="4" borderId="47" xfId="3" applyFont="1" applyFill="1" applyBorder="1" applyAlignment="1">
      <alignment horizontal="left" vertical="center"/>
    </xf>
    <xf numFmtId="17" fontId="6" fillId="2" borderId="48" xfId="3" applyNumberFormat="1" applyFont="1" applyFill="1" applyBorder="1" applyAlignment="1">
      <alignment horizontal="left" vertical="center"/>
    </xf>
    <xf numFmtId="164" fontId="10" fillId="4" borderId="43" xfId="1" applyNumberFormat="1" applyFont="1" applyFill="1" applyBorder="1" applyAlignment="1">
      <alignment horizontal="left" vertical="center"/>
    </xf>
    <xf numFmtId="164" fontId="6" fillId="2" borderId="44" xfId="1" applyNumberFormat="1" applyFont="1" applyFill="1" applyBorder="1" applyAlignment="1">
      <alignment horizontal="left" vertical="center"/>
    </xf>
    <xf numFmtId="164" fontId="10" fillId="4" borderId="45" xfId="1" applyNumberFormat="1" applyFont="1" applyFill="1" applyBorder="1" applyAlignment="1">
      <alignment horizontal="left" vertical="center"/>
    </xf>
    <xf numFmtId="164" fontId="6" fillId="0" borderId="46" xfId="1" applyNumberFormat="1" applyFont="1" applyFill="1" applyBorder="1" applyAlignment="1">
      <alignment horizontal="left" vertical="center"/>
    </xf>
    <xf numFmtId="166" fontId="6" fillId="2" borderId="46" xfId="3" applyNumberFormat="1" applyFont="1" applyFill="1" applyBorder="1" applyAlignment="1">
      <alignment horizontal="left" vertical="center"/>
    </xf>
    <xf numFmtId="164" fontId="6" fillId="0" borderId="48" xfId="1" applyNumberFormat="1" applyFont="1" applyFill="1" applyBorder="1" applyAlignment="1">
      <alignment horizontal="left" vertical="center"/>
    </xf>
    <xf numFmtId="166" fontId="6" fillId="2" borderId="44" xfId="1" applyNumberFormat="1" applyFont="1" applyFill="1" applyBorder="1" applyAlignment="1">
      <alignment horizontal="left" vertical="center"/>
    </xf>
    <xf numFmtId="166" fontId="6" fillId="0" borderId="46" xfId="1" applyNumberFormat="1" applyFont="1" applyFill="1" applyBorder="1" applyAlignment="1">
      <alignment horizontal="left" vertical="center"/>
    </xf>
    <xf numFmtId="166" fontId="6" fillId="0" borderId="48" xfId="1" applyNumberFormat="1" applyFont="1" applyFill="1" applyBorder="1" applyAlignment="1">
      <alignment horizontal="left" vertical="center"/>
    </xf>
    <xf numFmtId="164" fontId="6" fillId="2" borderId="46" xfId="3" applyNumberFormat="1" applyFont="1" applyFill="1" applyBorder="1" applyAlignment="1">
      <alignment horizontal="left" vertical="center"/>
    </xf>
    <xf numFmtId="17" fontId="6" fillId="2" borderId="46" xfId="3" applyNumberFormat="1" applyFont="1" applyFill="1" applyBorder="1" applyAlignment="1">
      <alignment horizontal="left" vertical="center"/>
    </xf>
    <xf numFmtId="17" fontId="6" fillId="3" borderId="48" xfId="3" applyNumberFormat="1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54" xfId="0" applyBorder="1"/>
    <xf numFmtId="0" fontId="27" fillId="0" borderId="0" xfId="0" applyFont="1" applyAlignment="1">
      <alignment vertical="center"/>
    </xf>
    <xf numFmtId="165" fontId="27" fillId="0" borderId="0" xfId="0" applyNumberFormat="1" applyFont="1" applyAlignment="1">
      <alignment vertical="center"/>
    </xf>
    <xf numFmtId="0" fontId="28" fillId="4" borderId="75" xfId="0" applyFont="1" applyFill="1" applyBorder="1" applyAlignment="1">
      <alignment horizontal="center" vertical="center"/>
    </xf>
    <xf numFmtId="0" fontId="28" fillId="4" borderId="42" xfId="0" applyFont="1" applyFill="1" applyBorder="1" applyAlignment="1">
      <alignment horizontal="center" vertical="center"/>
    </xf>
    <xf numFmtId="0" fontId="28" fillId="4" borderId="76" xfId="0" applyFont="1" applyFill="1" applyBorder="1" applyAlignment="1">
      <alignment horizontal="center" vertical="center"/>
    </xf>
    <xf numFmtId="0" fontId="28" fillId="4" borderId="77" xfId="0" applyFont="1" applyFill="1" applyBorder="1" applyAlignment="1">
      <alignment horizontal="center" vertical="center"/>
    </xf>
    <xf numFmtId="0" fontId="29" fillId="0" borderId="61" xfId="3" applyFont="1" applyBorder="1" applyAlignment="1">
      <alignment vertical="center"/>
    </xf>
    <xf numFmtId="0" fontId="27" fillId="0" borderId="86" xfId="0" applyFont="1" applyBorder="1" applyAlignment="1">
      <alignment vertical="center"/>
    </xf>
    <xf numFmtId="168" fontId="27" fillId="0" borderId="86" xfId="6" applyNumberFormat="1" applyFont="1" applyBorder="1" applyAlignment="1">
      <alignment vertical="center"/>
    </xf>
    <xf numFmtId="44" fontId="27" fillId="2" borderId="86" xfId="1" applyFont="1" applyFill="1" applyBorder="1" applyAlignment="1">
      <alignment vertical="center"/>
    </xf>
    <xf numFmtId="44" fontId="27" fillId="2" borderId="87" xfId="1" applyFont="1" applyFill="1" applyBorder="1" applyAlignment="1">
      <alignment vertical="center"/>
    </xf>
    <xf numFmtId="0" fontId="29" fillId="0" borderId="0" xfId="3" applyFont="1" applyAlignment="1">
      <alignment vertical="center"/>
    </xf>
    <xf numFmtId="168" fontId="27" fillId="0" borderId="0" xfId="6" applyNumberFormat="1" applyFont="1" applyBorder="1" applyAlignment="1">
      <alignment vertical="center"/>
    </xf>
    <xf numFmtId="44" fontId="27" fillId="3" borderId="0" xfId="1" applyFont="1" applyFill="1" applyBorder="1" applyAlignment="1">
      <alignment vertical="center"/>
    </xf>
    <xf numFmtId="165" fontId="27" fillId="3" borderId="0" xfId="0" applyNumberFormat="1" applyFont="1" applyFill="1" applyAlignment="1">
      <alignment vertical="center"/>
    </xf>
    <xf numFmtId="44" fontId="28" fillId="4" borderId="76" xfId="0" applyNumberFormat="1" applyFont="1" applyFill="1" applyBorder="1" applyAlignment="1">
      <alignment horizontal="center" vertical="center"/>
    </xf>
    <xf numFmtId="44" fontId="28" fillId="4" borderId="77" xfId="0" applyNumberFormat="1" applyFont="1" applyFill="1" applyBorder="1" applyAlignment="1">
      <alignment horizontal="center" vertical="center"/>
    </xf>
    <xf numFmtId="0" fontId="28" fillId="4" borderId="43" xfId="0" applyFont="1" applyFill="1" applyBorder="1" applyAlignment="1">
      <alignment horizontal="right" vertical="center"/>
    </xf>
    <xf numFmtId="44" fontId="27" fillId="0" borderId="34" xfId="0" applyNumberFormat="1" applyFont="1" applyBorder="1" applyAlignment="1">
      <alignment vertical="center"/>
    </xf>
    <xf numFmtId="44" fontId="27" fillId="0" borderId="44" xfId="0" applyNumberFormat="1" applyFont="1" applyBorder="1" applyAlignment="1">
      <alignment vertical="center"/>
    </xf>
    <xf numFmtId="167" fontId="27" fillId="0" borderId="0" xfId="1" applyNumberFormat="1" applyFont="1" applyAlignment="1">
      <alignment vertical="center"/>
    </xf>
    <xf numFmtId="44" fontId="27" fillId="0" borderId="0" xfId="0" applyNumberFormat="1" applyFont="1" applyAlignment="1">
      <alignment vertical="center"/>
    </xf>
    <xf numFmtId="0" fontId="28" fillId="4" borderId="47" xfId="0" applyFont="1" applyFill="1" applyBorder="1" applyAlignment="1">
      <alignment horizontal="right" vertical="center"/>
    </xf>
    <xf numFmtId="44" fontId="27" fillId="0" borderId="40" xfId="0" applyNumberFormat="1" applyFont="1" applyBorder="1" applyAlignment="1">
      <alignment vertical="center"/>
    </xf>
    <xf numFmtId="44" fontId="27" fillId="0" borderId="48" xfId="0" applyNumberFormat="1" applyFont="1" applyBorder="1" applyAlignment="1">
      <alignment vertical="center"/>
    </xf>
    <xf numFmtId="44" fontId="27" fillId="0" borderId="0" xfId="1" applyFont="1" applyAlignment="1">
      <alignment vertical="center"/>
    </xf>
    <xf numFmtId="0" fontId="30" fillId="0" borderId="0" xfId="0" applyFont="1" applyAlignment="1">
      <alignment horizontal="right" vertical="center"/>
    </xf>
    <xf numFmtId="44" fontId="27" fillId="0" borderId="34" xfId="0" applyNumberFormat="1" applyFont="1" applyBorder="1" applyAlignment="1">
      <alignment horizontal="center" vertical="center"/>
    </xf>
    <xf numFmtId="44" fontId="27" fillId="0" borderId="44" xfId="0" applyNumberFormat="1" applyFont="1" applyBorder="1" applyAlignment="1">
      <alignment horizontal="center" vertical="center"/>
    </xf>
    <xf numFmtId="44" fontId="27" fillId="0" borderId="40" xfId="0" applyNumberFormat="1" applyFont="1" applyBorder="1" applyAlignment="1">
      <alignment horizontal="center" vertical="center"/>
    </xf>
    <xf numFmtId="44" fontId="27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8" fillId="4" borderId="38" xfId="0" applyFont="1" applyFill="1" applyBorder="1" applyAlignment="1">
      <alignment horizontal="center" vertical="center"/>
    </xf>
    <xf numFmtId="0" fontId="28" fillId="4" borderId="50" xfId="0" applyFont="1" applyFill="1" applyBorder="1" applyAlignment="1">
      <alignment horizontal="center" vertical="center"/>
    </xf>
    <xf numFmtId="0" fontId="28" fillId="4" borderId="16" xfId="0" applyFont="1" applyFill="1" applyBorder="1" applyAlignment="1">
      <alignment horizontal="center" vertical="center"/>
    </xf>
    <xf numFmtId="0" fontId="28" fillId="4" borderId="17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1" fontId="28" fillId="4" borderId="68" xfId="0" applyNumberFormat="1" applyFont="1" applyFill="1" applyBorder="1" applyAlignment="1">
      <alignment horizontal="center" vertical="center"/>
    </xf>
    <xf numFmtId="1" fontId="28" fillId="4" borderId="74" xfId="0" applyNumberFormat="1" applyFont="1" applyFill="1" applyBorder="1" applyAlignment="1">
      <alignment horizontal="center" vertical="center"/>
    </xf>
    <xf numFmtId="0" fontId="28" fillId="4" borderId="30" xfId="3" applyFont="1" applyFill="1" applyBorder="1" applyAlignment="1">
      <alignment horizontal="right" vertical="center"/>
    </xf>
    <xf numFmtId="0" fontId="29" fillId="0" borderId="43" xfId="3" applyFont="1" applyBorder="1" applyAlignment="1">
      <alignment vertical="center"/>
    </xf>
    <xf numFmtId="0" fontId="27" fillId="0" borderId="34" xfId="0" applyFont="1" applyBorder="1" applyAlignment="1">
      <alignment vertical="center"/>
    </xf>
    <xf numFmtId="44" fontId="27" fillId="2" borderId="34" xfId="1" applyFont="1" applyFill="1" applyBorder="1" applyAlignment="1">
      <alignment horizontal="center" vertical="center"/>
    </xf>
    <xf numFmtId="44" fontId="27" fillId="2" borderId="44" xfId="1" applyFont="1" applyFill="1" applyBorder="1" applyAlignment="1">
      <alignment horizontal="center" vertical="center"/>
    </xf>
    <xf numFmtId="3" fontId="27" fillId="0" borderId="43" xfId="1" applyNumberFormat="1" applyFont="1" applyBorder="1" applyAlignment="1">
      <alignment horizontal="center" vertical="center"/>
    </xf>
    <xf numFmtId="3" fontId="27" fillId="0" borderId="34" xfId="1" applyNumberFormat="1" applyFont="1" applyBorder="1" applyAlignment="1">
      <alignment horizontal="center" vertical="center"/>
    </xf>
    <xf numFmtId="10" fontId="27" fillId="0" borderId="44" xfId="0" applyNumberFormat="1" applyFont="1" applyBorder="1" applyAlignment="1">
      <alignment vertical="center"/>
    </xf>
    <xf numFmtId="0" fontId="29" fillId="0" borderId="45" xfId="3" applyFont="1" applyBorder="1" applyAlignment="1">
      <alignment vertical="center"/>
    </xf>
    <xf numFmtId="0" fontId="27" fillId="0" borderId="32" xfId="0" applyFont="1" applyBorder="1" applyAlignment="1">
      <alignment vertical="center"/>
    </xf>
    <xf numFmtId="44" fontId="27" fillId="2" borderId="32" xfId="1" applyFont="1" applyFill="1" applyBorder="1" applyAlignment="1">
      <alignment horizontal="center" vertical="center"/>
    </xf>
    <xf numFmtId="44" fontId="27" fillId="2" borderId="46" xfId="1" applyFont="1" applyFill="1" applyBorder="1" applyAlignment="1">
      <alignment horizontal="center" vertical="center"/>
    </xf>
    <xf numFmtId="3" fontId="27" fillId="0" borderId="45" xfId="1" applyNumberFormat="1" applyFont="1" applyBorder="1" applyAlignment="1">
      <alignment horizontal="center" vertical="center"/>
    </xf>
    <xf numFmtId="3" fontId="27" fillId="0" borderId="32" xfId="1" applyNumberFormat="1" applyFont="1" applyBorder="1" applyAlignment="1">
      <alignment horizontal="center" vertical="center"/>
    </xf>
    <xf numFmtId="44" fontId="27" fillId="0" borderId="32" xfId="0" applyNumberFormat="1" applyFont="1" applyBorder="1" applyAlignment="1">
      <alignment vertical="center"/>
    </xf>
    <xf numFmtId="10" fontId="27" fillId="0" borderId="46" xfId="0" applyNumberFormat="1" applyFont="1" applyBorder="1" applyAlignment="1">
      <alignment vertical="center"/>
    </xf>
    <xf numFmtId="0" fontId="29" fillId="0" borderId="98" xfId="3" applyFont="1" applyBorder="1" applyAlignment="1">
      <alignment vertical="center"/>
    </xf>
    <xf numFmtId="0" fontId="27" fillId="0" borderId="99" xfId="0" applyFont="1" applyBorder="1" applyAlignment="1">
      <alignment vertical="center"/>
    </xf>
    <xf numFmtId="44" fontId="27" fillId="2" borderId="99" xfId="1" applyFont="1" applyFill="1" applyBorder="1" applyAlignment="1">
      <alignment horizontal="center" vertical="center"/>
    </xf>
    <xf numFmtId="44" fontId="27" fillId="2" borderId="100" xfId="1" applyFont="1" applyFill="1" applyBorder="1" applyAlignment="1">
      <alignment horizontal="center" vertical="center"/>
    </xf>
    <xf numFmtId="3" fontId="27" fillId="0" borderId="98" xfId="1" applyNumberFormat="1" applyFont="1" applyBorder="1" applyAlignment="1">
      <alignment horizontal="center" vertical="center"/>
    </xf>
    <xf numFmtId="3" fontId="27" fillId="0" borderId="99" xfId="1" applyNumberFormat="1" applyFont="1" applyBorder="1" applyAlignment="1">
      <alignment horizontal="center" vertical="center"/>
    </xf>
    <xf numFmtId="44" fontId="27" fillId="0" borderId="99" xfId="0" applyNumberFormat="1" applyFont="1" applyBorder="1" applyAlignment="1">
      <alignment vertical="center"/>
    </xf>
    <xf numFmtId="10" fontId="27" fillId="0" borderId="100" xfId="0" applyNumberFormat="1" applyFont="1" applyBorder="1" applyAlignment="1">
      <alignment vertical="center"/>
    </xf>
    <xf numFmtId="0" fontId="30" fillId="0" borderId="47" xfId="0" applyFont="1" applyBorder="1" applyAlignment="1">
      <alignment vertical="center"/>
    </xf>
    <xf numFmtId="0" fontId="27" fillId="0" borderId="40" xfId="0" applyFont="1" applyBorder="1" applyAlignment="1">
      <alignment vertical="center"/>
    </xf>
    <xf numFmtId="44" fontId="27" fillId="2" borderId="40" xfId="1" applyFont="1" applyFill="1" applyBorder="1" applyAlignment="1">
      <alignment horizontal="center" vertical="center"/>
    </xf>
    <xf numFmtId="44" fontId="27" fillId="2" borderId="48" xfId="1" applyFont="1" applyFill="1" applyBorder="1" applyAlignment="1">
      <alignment horizontal="center" vertical="center"/>
    </xf>
    <xf numFmtId="3" fontId="27" fillId="0" borderId="47" xfId="1" applyNumberFormat="1" applyFont="1" applyBorder="1" applyAlignment="1">
      <alignment horizontal="center" vertical="center"/>
    </xf>
    <xf numFmtId="3" fontId="27" fillId="0" borderId="40" xfId="1" applyNumberFormat="1" applyFont="1" applyBorder="1" applyAlignment="1">
      <alignment horizontal="center" vertical="center"/>
    </xf>
    <xf numFmtId="10" fontId="27" fillId="0" borderId="48" xfId="0" applyNumberFormat="1" applyFont="1" applyBorder="1" applyAlignment="1">
      <alignment vertical="center"/>
    </xf>
    <xf numFmtId="0" fontId="29" fillId="0" borderId="101" xfId="3" applyFont="1" applyBorder="1" applyAlignment="1">
      <alignment vertical="center"/>
    </xf>
    <xf numFmtId="0" fontId="27" fillId="0" borderId="56" xfId="0" applyFont="1" applyBorder="1" applyAlignment="1">
      <alignment vertical="center"/>
    </xf>
    <xf numFmtId="44" fontId="27" fillId="2" borderId="56" xfId="1" applyFont="1" applyFill="1" applyBorder="1" applyAlignment="1">
      <alignment horizontal="center" vertical="center"/>
    </xf>
    <xf numFmtId="44" fontId="27" fillId="2" borderId="102" xfId="1" applyFont="1" applyFill="1" applyBorder="1" applyAlignment="1">
      <alignment horizontal="center" vertical="center"/>
    </xf>
    <xf numFmtId="0" fontId="29" fillId="0" borderId="47" xfId="3" applyFont="1" applyBorder="1" applyAlignment="1">
      <alignment vertical="center"/>
    </xf>
    <xf numFmtId="44" fontId="27" fillId="5" borderId="74" xfId="0" applyNumberFormat="1" applyFont="1" applyFill="1" applyBorder="1" applyAlignment="1">
      <alignment vertical="center"/>
    </xf>
    <xf numFmtId="10" fontId="27" fillId="5" borderId="74" xfId="0" applyNumberFormat="1" applyFont="1" applyFill="1" applyBorder="1" applyAlignment="1">
      <alignment vertical="center"/>
    </xf>
    <xf numFmtId="44" fontId="27" fillId="0" borderId="59" xfId="0" applyNumberFormat="1" applyFont="1" applyBorder="1" applyAlignment="1">
      <alignment vertical="center"/>
    </xf>
    <xf numFmtId="44" fontId="27" fillId="0" borderId="60" xfId="0" applyNumberFormat="1" applyFont="1" applyBorder="1" applyAlignment="1">
      <alignment vertical="center"/>
    </xf>
    <xf numFmtId="44" fontId="27" fillId="0" borderId="62" xfId="0" applyNumberFormat="1" applyFont="1" applyBorder="1" applyAlignment="1">
      <alignment vertical="center"/>
    </xf>
    <xf numFmtId="44" fontId="27" fillId="0" borderId="23" xfId="0" applyNumberFormat="1" applyFont="1" applyBorder="1" applyAlignment="1">
      <alignment vertical="center"/>
    </xf>
    <xf numFmtId="0" fontId="31" fillId="0" borderId="16" xfId="0" applyFont="1" applyBorder="1" applyAlignment="1">
      <alignment vertical="center"/>
    </xf>
    <xf numFmtId="0" fontId="31" fillId="0" borderId="17" xfId="0" applyFont="1" applyBorder="1" applyAlignment="1">
      <alignment vertical="center"/>
    </xf>
    <xf numFmtId="0" fontId="31" fillId="0" borderId="18" xfId="0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3" fillId="0" borderId="19" xfId="3" applyFont="1" applyBorder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19" xfId="0" applyFont="1" applyBorder="1" applyAlignment="1">
      <alignment vertical="center"/>
    </xf>
    <xf numFmtId="0" fontId="34" fillId="0" borderId="19" xfId="3" applyFont="1" applyBorder="1" applyAlignment="1">
      <alignment horizontal="center" vertical="center"/>
    </xf>
    <xf numFmtId="0" fontId="31" fillId="0" borderId="0" xfId="0" applyFont="1" applyAlignment="1">
      <alignment vertical="top"/>
    </xf>
    <xf numFmtId="0" fontId="31" fillId="0" borderId="19" xfId="0" applyFont="1" applyBorder="1" applyAlignment="1">
      <alignment vertical="top"/>
    </xf>
    <xf numFmtId="0" fontId="31" fillId="0" borderId="20" xfId="0" applyFont="1" applyBorder="1" applyAlignment="1">
      <alignment vertical="top"/>
    </xf>
    <xf numFmtId="0" fontId="35" fillId="4" borderId="43" xfId="3" applyFont="1" applyFill="1" applyBorder="1" applyAlignment="1">
      <alignment horizontal="left" vertical="center"/>
    </xf>
    <xf numFmtId="0" fontId="35" fillId="4" borderId="45" xfId="3" applyFont="1" applyFill="1" applyBorder="1" applyAlignment="1">
      <alignment horizontal="left" vertical="center"/>
    </xf>
    <xf numFmtId="0" fontId="35" fillId="4" borderId="47" xfId="3" applyFont="1" applyFill="1" applyBorder="1" applyAlignment="1">
      <alignment horizontal="left" vertical="center"/>
    </xf>
    <xf numFmtId="0" fontId="31" fillId="0" borderId="0" xfId="0" applyFont="1"/>
    <xf numFmtId="0" fontId="35" fillId="4" borderId="30" xfId="0" applyFont="1" applyFill="1" applyBorder="1" applyAlignment="1">
      <alignment horizontal="center" vertical="center"/>
    </xf>
    <xf numFmtId="0" fontId="35" fillId="4" borderId="16" xfId="0" applyFont="1" applyFill="1" applyBorder="1" applyAlignment="1">
      <alignment horizontal="center" vertical="center"/>
    </xf>
    <xf numFmtId="0" fontId="39" fillId="0" borderId="49" xfId="0" applyFont="1" applyBorder="1" applyAlignment="1">
      <alignment horizontal="left" vertical="center" wrapText="1"/>
    </xf>
    <xf numFmtId="0" fontId="39" fillId="0" borderId="91" xfId="0" applyFont="1" applyBorder="1" applyAlignment="1">
      <alignment horizontal="left" vertical="center" wrapText="1"/>
    </xf>
    <xf numFmtId="0" fontId="39" fillId="0" borderId="93" xfId="0" applyFont="1" applyBorder="1" applyAlignment="1">
      <alignment horizontal="left" vertical="center" wrapText="1"/>
    </xf>
    <xf numFmtId="0" fontId="39" fillId="0" borderId="68" xfId="0" applyFont="1" applyBorder="1" applyAlignment="1">
      <alignment horizontal="left" vertical="center" wrapText="1"/>
    </xf>
    <xf numFmtId="0" fontId="39" fillId="0" borderId="74" xfId="0" applyFont="1" applyBorder="1" applyAlignment="1">
      <alignment horizontal="left" vertical="center" wrapText="1"/>
    </xf>
    <xf numFmtId="0" fontId="39" fillId="0" borderId="72" xfId="0" applyFont="1" applyBorder="1" applyAlignment="1">
      <alignment horizontal="left" vertical="center" wrapText="1"/>
    </xf>
    <xf numFmtId="0" fontId="40" fillId="3" borderId="0" xfId="0" applyFont="1" applyFill="1"/>
    <xf numFmtId="44" fontId="40" fillId="3" borderId="0" xfId="1" applyFont="1" applyFill="1" applyBorder="1" applyAlignment="1">
      <alignment horizontal="center" vertical="center"/>
    </xf>
    <xf numFmtId="0" fontId="41" fillId="0" borderId="20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31" fillId="0" borderId="21" xfId="0" applyFont="1" applyBorder="1" applyAlignment="1">
      <alignment vertical="center"/>
    </xf>
    <xf numFmtId="0" fontId="31" fillId="0" borderId="22" xfId="0" applyFont="1" applyBorder="1" applyAlignment="1">
      <alignment vertical="center"/>
    </xf>
    <xf numFmtId="0" fontId="31" fillId="0" borderId="23" xfId="0" applyFont="1" applyBorder="1" applyAlignment="1">
      <alignment vertical="center"/>
    </xf>
    <xf numFmtId="0" fontId="27" fillId="3" borderId="21" xfId="0" applyFont="1" applyFill="1" applyBorder="1" applyAlignment="1">
      <alignment vertical="center"/>
    </xf>
    <xf numFmtId="0" fontId="28" fillId="4" borderId="74" xfId="0" applyFont="1" applyFill="1" applyBorder="1" applyAlignment="1">
      <alignment horizontal="center" vertical="center"/>
    </xf>
    <xf numFmtId="0" fontId="28" fillId="4" borderId="73" xfId="0" applyFont="1" applyFill="1" applyBorder="1" applyAlignment="1">
      <alignment horizontal="center" vertical="center"/>
    </xf>
    <xf numFmtId="0" fontId="27" fillId="0" borderId="17" xfId="0" applyFont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4" fontId="27" fillId="2" borderId="37" xfId="1" applyFont="1" applyFill="1" applyBorder="1" applyAlignment="1">
      <alignment horizontal="center" vertical="center"/>
    </xf>
    <xf numFmtId="44" fontId="27" fillId="2" borderId="51" xfId="1" applyFont="1" applyFill="1" applyBorder="1" applyAlignment="1">
      <alignment horizontal="center" vertical="center"/>
    </xf>
    <xf numFmtId="0" fontId="27" fillId="0" borderId="4" xfId="0" applyFont="1" applyBorder="1" applyAlignment="1">
      <alignment vertical="center"/>
    </xf>
    <xf numFmtId="0" fontId="27" fillId="0" borderId="24" xfId="0" applyFont="1" applyBorder="1" applyAlignment="1">
      <alignment horizontal="right" vertical="center"/>
    </xf>
    <xf numFmtId="0" fontId="27" fillId="0" borderId="33" xfId="0" applyFont="1" applyBorder="1" applyAlignment="1">
      <alignment horizontal="right" vertical="center"/>
    </xf>
    <xf numFmtId="44" fontId="27" fillId="2" borderId="5" xfId="1" applyFont="1" applyFill="1" applyBorder="1" applyAlignment="1">
      <alignment horizontal="center" vertical="center"/>
    </xf>
    <xf numFmtId="44" fontId="27" fillId="2" borderId="52" xfId="1" applyFont="1" applyFill="1" applyBorder="1" applyAlignment="1">
      <alignment horizontal="center" vertical="center"/>
    </xf>
    <xf numFmtId="0" fontId="27" fillId="0" borderId="39" xfId="0" applyFont="1" applyBorder="1" applyAlignment="1">
      <alignment vertical="center"/>
    </xf>
    <xf numFmtId="0" fontId="27" fillId="0" borderId="66" xfId="0" applyFont="1" applyBorder="1" applyAlignment="1">
      <alignment horizontal="right" vertical="center"/>
    </xf>
    <xf numFmtId="0" fontId="27" fillId="0" borderId="62" xfId="0" applyFont="1" applyBorder="1" applyAlignment="1">
      <alignment horizontal="right" vertical="center"/>
    </xf>
    <xf numFmtId="44" fontId="27" fillId="2" borderId="39" xfId="1" applyFont="1" applyFill="1" applyBorder="1" applyAlignment="1">
      <alignment horizontal="center" vertical="center"/>
    </xf>
    <xf numFmtId="44" fontId="27" fillId="2" borderId="53" xfId="1" applyFont="1" applyFill="1" applyBorder="1" applyAlignment="1">
      <alignment horizontal="center" vertical="center"/>
    </xf>
    <xf numFmtId="0" fontId="27" fillId="0" borderId="58" xfId="0" applyFont="1" applyBorder="1" applyAlignment="1">
      <alignment horizontal="right" vertical="center"/>
    </xf>
    <xf numFmtId="44" fontId="27" fillId="2" borderId="35" xfId="1" applyFont="1" applyFill="1" applyBorder="1" applyAlignment="1">
      <alignment horizontal="right" vertical="center"/>
    </xf>
    <xf numFmtId="44" fontId="27" fillId="2" borderId="51" xfId="1" applyFont="1" applyFill="1" applyBorder="1" applyAlignment="1">
      <alignment horizontal="right" vertical="center"/>
    </xf>
    <xf numFmtId="0" fontId="27" fillId="0" borderId="95" xfId="0" applyFont="1" applyBorder="1" applyAlignment="1">
      <alignment horizontal="right" vertical="center"/>
    </xf>
    <xf numFmtId="0" fontId="27" fillId="0" borderId="96" xfId="0" applyFont="1" applyBorder="1" applyAlignment="1">
      <alignment horizontal="right" vertical="center"/>
    </xf>
    <xf numFmtId="44" fontId="27" fillId="2" borderId="4" xfId="1" applyFont="1" applyFill="1" applyBorder="1" applyAlignment="1">
      <alignment horizontal="center" vertical="center"/>
    </xf>
    <xf numFmtId="44" fontId="27" fillId="2" borderId="97" xfId="1" applyFont="1" applyFill="1" applyBorder="1" applyAlignment="1">
      <alignment horizontal="center" vertical="center"/>
    </xf>
    <xf numFmtId="0" fontId="27" fillId="0" borderId="22" xfId="0" applyFont="1" applyBorder="1" applyAlignment="1">
      <alignment horizontal="right" vertical="center"/>
    </xf>
    <xf numFmtId="0" fontId="27" fillId="0" borderId="65" xfId="0" applyFont="1" applyBorder="1" applyAlignment="1">
      <alignment horizontal="right" vertical="center"/>
    </xf>
    <xf numFmtId="0" fontId="27" fillId="0" borderId="35" xfId="0" applyFont="1" applyBorder="1" applyAlignment="1">
      <alignment vertical="center"/>
    </xf>
    <xf numFmtId="0" fontId="27" fillId="0" borderId="63" xfId="0" applyFont="1" applyBorder="1" applyAlignment="1">
      <alignment horizontal="right" vertical="center"/>
    </xf>
    <xf numFmtId="0" fontId="27" fillId="0" borderId="64" xfId="0" applyFont="1" applyBorder="1" applyAlignment="1">
      <alignment horizontal="right" vertical="center"/>
    </xf>
    <xf numFmtId="44" fontId="27" fillId="2" borderId="41" xfId="1" applyFont="1" applyFill="1" applyBorder="1" applyAlignment="1">
      <alignment horizontal="center" vertical="center"/>
    </xf>
    <xf numFmtId="0" fontId="27" fillId="0" borderId="17" xfId="0" applyFont="1" applyBorder="1" applyAlignment="1">
      <alignment horizontal="right" vertical="center"/>
    </xf>
    <xf numFmtId="0" fontId="27" fillId="0" borderId="81" xfId="0" applyFont="1" applyBorder="1" applyAlignment="1">
      <alignment horizontal="right" vertical="center"/>
    </xf>
    <xf numFmtId="44" fontId="27" fillId="2" borderId="38" xfId="1" applyFont="1" applyFill="1" applyBorder="1" applyAlignment="1">
      <alignment horizontal="center" vertical="center"/>
    </xf>
    <xf numFmtId="44" fontId="27" fillId="2" borderId="50" xfId="1" applyFont="1" applyFill="1" applyBorder="1" applyAlignment="1">
      <alignment horizontal="center" vertical="center"/>
    </xf>
    <xf numFmtId="0" fontId="27" fillId="0" borderId="22" xfId="0" applyFont="1" applyBorder="1" applyAlignment="1">
      <alignment vertical="center"/>
    </xf>
    <xf numFmtId="44" fontId="27" fillId="2" borderId="103" xfId="1" applyFont="1" applyFill="1" applyBorder="1" applyAlignment="1">
      <alignment horizontal="center" vertical="center"/>
    </xf>
    <xf numFmtId="44" fontId="27" fillId="2" borderId="89" xfId="1" applyFont="1" applyFill="1" applyBorder="1" applyAlignment="1">
      <alignment horizontal="center" vertical="center"/>
    </xf>
    <xf numFmtId="0" fontId="30" fillId="0" borderId="32" xfId="0" applyFont="1" applyBorder="1" applyAlignment="1">
      <alignment vertical="center"/>
    </xf>
    <xf numFmtId="0" fontId="27" fillId="0" borderId="24" xfId="0" applyFont="1" applyBorder="1" applyAlignment="1">
      <alignment vertical="center"/>
    </xf>
    <xf numFmtId="44" fontId="27" fillId="2" borderId="104" xfId="1" applyFont="1" applyFill="1" applyBorder="1" applyAlignment="1">
      <alignment horizontal="center" vertical="center"/>
    </xf>
    <xf numFmtId="0" fontId="29" fillId="0" borderId="16" xfId="3" applyFont="1" applyBorder="1" applyAlignment="1">
      <alignment vertical="center"/>
    </xf>
    <xf numFmtId="0" fontId="29" fillId="0" borderId="82" xfId="3" applyFont="1" applyBorder="1" applyAlignment="1">
      <alignment vertical="center"/>
    </xf>
    <xf numFmtId="0" fontId="29" fillId="0" borderId="84" xfId="3" applyFont="1" applyBorder="1" applyAlignment="1">
      <alignment vertical="center"/>
    </xf>
    <xf numFmtId="0" fontId="30" fillId="0" borderId="82" xfId="0" applyFont="1" applyBorder="1" applyAlignment="1">
      <alignment vertical="center"/>
    </xf>
    <xf numFmtId="0" fontId="30" fillId="0" borderId="84" xfId="0" applyFont="1" applyBorder="1" applyAlignment="1">
      <alignment vertical="center"/>
    </xf>
    <xf numFmtId="0" fontId="30" fillId="0" borderId="16" xfId="0" applyFont="1" applyBorder="1" applyAlignment="1">
      <alignment vertical="center"/>
    </xf>
    <xf numFmtId="0" fontId="30" fillId="0" borderId="105" xfId="0" applyFont="1" applyBorder="1" applyAlignment="1">
      <alignment vertical="center"/>
    </xf>
    <xf numFmtId="44" fontId="27" fillId="2" borderId="106" xfId="1" applyFont="1" applyFill="1" applyBorder="1" applyAlignment="1">
      <alignment horizontal="center" vertical="center"/>
    </xf>
    <xf numFmtId="0" fontId="30" fillId="0" borderId="21" xfId="0" applyFont="1" applyBorder="1" applyAlignment="1">
      <alignment vertical="center"/>
    </xf>
    <xf numFmtId="0" fontId="10" fillId="4" borderId="30" xfId="5" applyFont="1" applyFill="1" applyBorder="1" applyAlignment="1">
      <alignment horizontal="center" vertical="center"/>
    </xf>
    <xf numFmtId="1" fontId="10" fillId="4" borderId="42" xfId="5" applyNumberFormat="1" applyFont="1" applyFill="1" applyBorder="1" applyAlignment="1">
      <alignment horizontal="center" vertical="center"/>
    </xf>
    <xf numFmtId="1" fontId="10" fillId="4" borderId="42" xfId="1" applyNumberFormat="1" applyFont="1" applyFill="1" applyBorder="1" applyAlignment="1">
      <alignment horizontal="center" vertical="center"/>
    </xf>
    <xf numFmtId="44" fontId="10" fillId="4" borderId="31" xfId="1" applyFont="1" applyFill="1" applyBorder="1" applyAlignment="1">
      <alignment horizontal="center" vertical="center"/>
    </xf>
    <xf numFmtId="0" fontId="3" fillId="3" borderId="16" xfId="0" applyFont="1" applyFill="1" applyBorder="1"/>
    <xf numFmtId="1" fontId="3" fillId="3" borderId="17" xfId="0" applyNumberFormat="1" applyFont="1" applyFill="1" applyBorder="1" applyAlignment="1">
      <alignment horizontal="center"/>
    </xf>
    <xf numFmtId="44" fontId="3" fillId="3" borderId="18" xfId="1" applyFont="1" applyFill="1" applyBorder="1" applyAlignment="1">
      <alignment horizontal="center" vertical="center"/>
    </xf>
    <xf numFmtId="1" fontId="3" fillId="3" borderId="0" xfId="0" applyNumberFormat="1" applyFont="1" applyFill="1" applyAlignment="1">
      <alignment horizontal="center"/>
    </xf>
    <xf numFmtId="44" fontId="3" fillId="3" borderId="20" xfId="1" applyFont="1" applyFill="1" applyBorder="1" applyAlignment="1">
      <alignment horizontal="center" vertical="center"/>
    </xf>
    <xf numFmtId="0" fontId="3" fillId="3" borderId="21" xfId="0" applyFont="1" applyFill="1" applyBorder="1"/>
    <xf numFmtId="1" fontId="3" fillId="3" borderId="22" xfId="0" applyNumberFormat="1" applyFont="1" applyFill="1" applyBorder="1" applyAlignment="1">
      <alignment horizontal="center"/>
    </xf>
    <xf numFmtId="44" fontId="3" fillId="3" borderId="23" xfId="1" applyFont="1" applyFill="1" applyBorder="1" applyAlignment="1">
      <alignment horizontal="center" vertical="center"/>
    </xf>
    <xf numFmtId="0" fontId="10" fillId="4" borderId="42" xfId="5" applyFont="1" applyFill="1" applyBorder="1" applyAlignment="1">
      <alignment horizontal="center" vertical="center"/>
    </xf>
    <xf numFmtId="0" fontId="10" fillId="4" borderId="31" xfId="5" applyFont="1" applyFill="1" applyBorder="1" applyAlignment="1">
      <alignment horizontal="center" vertical="center"/>
    </xf>
    <xf numFmtId="0" fontId="32" fillId="0" borderId="49" xfId="0" applyFont="1" applyBorder="1" applyAlignment="1">
      <alignment horizontal="left" vertical="center" wrapText="1"/>
    </xf>
    <xf numFmtId="0" fontId="32" fillId="0" borderId="91" xfId="0" applyFont="1" applyBorder="1" applyAlignment="1">
      <alignment horizontal="left" vertical="center" wrapText="1"/>
    </xf>
    <xf numFmtId="0" fontId="32" fillId="0" borderId="93" xfId="0" applyFont="1" applyBorder="1" applyAlignment="1">
      <alignment horizontal="left" vertical="center" wrapText="1"/>
    </xf>
    <xf numFmtId="0" fontId="32" fillId="0" borderId="68" xfId="0" applyFont="1" applyBorder="1" applyAlignment="1">
      <alignment horizontal="left" vertical="center" wrapText="1"/>
    </xf>
    <xf numFmtId="0" fontId="32" fillId="0" borderId="74" xfId="0" applyFont="1" applyBorder="1" applyAlignment="1">
      <alignment horizontal="left" vertical="center" wrapText="1"/>
    </xf>
    <xf numFmtId="0" fontId="32" fillId="0" borderId="72" xfId="0" applyFont="1" applyBorder="1" applyAlignment="1">
      <alignment horizontal="left" vertical="center" wrapText="1"/>
    </xf>
    <xf numFmtId="0" fontId="28" fillId="4" borderId="30" xfId="0" applyFont="1" applyFill="1" applyBorder="1" applyAlignment="1">
      <alignment horizontal="center" vertical="center"/>
    </xf>
    <xf numFmtId="0" fontId="29" fillId="0" borderId="18" xfId="3" applyFont="1" applyBorder="1" applyAlignment="1">
      <alignment vertical="center"/>
    </xf>
    <xf numFmtId="44" fontId="27" fillId="2" borderId="35" xfId="1" applyFont="1" applyFill="1" applyBorder="1" applyAlignment="1">
      <alignment horizontal="center" vertical="center"/>
    </xf>
    <xf numFmtId="166" fontId="27" fillId="0" borderId="90" xfId="0" applyNumberFormat="1" applyFont="1" applyBorder="1" applyAlignment="1">
      <alignment horizontal="center" vertical="center"/>
    </xf>
    <xf numFmtId="0" fontId="29" fillId="0" borderId="69" xfId="3" applyFont="1" applyBorder="1" applyAlignment="1">
      <alignment vertical="center"/>
    </xf>
    <xf numFmtId="44" fontId="27" fillId="2" borderId="15" xfId="1" applyFont="1" applyFill="1" applyBorder="1" applyAlignment="1">
      <alignment horizontal="center" vertical="center"/>
    </xf>
    <xf numFmtId="166" fontId="27" fillId="0" borderId="88" xfId="0" applyNumberFormat="1" applyFont="1" applyBorder="1" applyAlignment="1">
      <alignment horizontal="center" vertical="center"/>
    </xf>
    <xf numFmtId="0" fontId="29" fillId="0" borderId="70" xfId="3" applyFont="1" applyBorder="1" applyAlignment="1">
      <alignment vertical="center"/>
    </xf>
    <xf numFmtId="166" fontId="27" fillId="0" borderId="89" xfId="0" applyNumberFormat="1" applyFont="1" applyBorder="1" applyAlignment="1">
      <alignment horizontal="center" vertical="center"/>
    </xf>
    <xf numFmtId="44" fontId="27" fillId="2" borderId="37" xfId="1" applyFont="1" applyFill="1" applyBorder="1" applyAlignment="1">
      <alignment horizontal="right" vertical="center"/>
    </xf>
    <xf numFmtId="0" fontId="30" fillId="0" borderId="69" xfId="0" applyFont="1" applyBorder="1" applyAlignment="1">
      <alignment vertical="center"/>
    </xf>
    <xf numFmtId="0" fontId="30" fillId="0" borderId="70" xfId="0" applyFont="1" applyBorder="1" applyAlignment="1">
      <alignment vertical="center"/>
    </xf>
    <xf numFmtId="0" fontId="30" fillId="0" borderId="71" xfId="0" applyFont="1" applyBorder="1" applyAlignment="1">
      <alignment vertical="center"/>
    </xf>
    <xf numFmtId="0" fontId="30" fillId="0" borderId="0" xfId="0" applyFont="1" applyAlignment="1">
      <alignment vertical="center"/>
    </xf>
    <xf numFmtId="166" fontId="27" fillId="0" borderId="0" xfId="0" applyNumberFormat="1" applyFont="1" applyAlignment="1">
      <alignment horizontal="center" vertical="center"/>
    </xf>
    <xf numFmtId="0" fontId="35" fillId="4" borderId="30" xfId="5" applyFont="1" applyFill="1" applyBorder="1" applyAlignment="1">
      <alignment horizontal="center" vertical="center"/>
    </xf>
    <xf numFmtId="3" fontId="35" fillId="4" borderId="42" xfId="5" applyNumberFormat="1" applyFont="1" applyFill="1" applyBorder="1" applyAlignment="1">
      <alignment horizontal="center" vertical="center"/>
    </xf>
    <xf numFmtId="3" fontId="35" fillId="4" borderId="42" xfId="1" applyNumberFormat="1" applyFont="1" applyFill="1" applyBorder="1" applyAlignment="1">
      <alignment horizontal="center" vertical="center"/>
    </xf>
    <xf numFmtId="166" fontId="35" fillId="4" borderId="42" xfId="1" applyNumberFormat="1" applyFont="1" applyFill="1" applyBorder="1" applyAlignment="1">
      <alignment horizontal="center" vertical="center"/>
    </xf>
    <xf numFmtId="10" fontId="35" fillId="4" borderId="42" xfId="1" applyNumberFormat="1" applyFont="1" applyFill="1" applyBorder="1" applyAlignment="1">
      <alignment horizontal="center" vertical="center"/>
    </xf>
    <xf numFmtId="164" fontId="35" fillId="4" borderId="31" xfId="1" applyNumberFormat="1" applyFont="1" applyFill="1" applyBorder="1" applyAlignment="1">
      <alignment horizontal="center" vertical="center"/>
    </xf>
    <xf numFmtId="0" fontId="40" fillId="3" borderId="16" xfId="0" applyFont="1" applyFill="1" applyBorder="1"/>
    <xf numFmtId="3" fontId="40" fillId="3" borderId="17" xfId="0" applyNumberFormat="1" applyFont="1" applyFill="1" applyBorder="1" applyAlignment="1">
      <alignment horizontal="center" vertical="center"/>
    </xf>
    <xf numFmtId="166" fontId="40" fillId="3" borderId="17" xfId="0" applyNumberFormat="1" applyFont="1" applyFill="1" applyBorder="1" applyAlignment="1">
      <alignment horizontal="center" vertical="center"/>
    </xf>
    <xf numFmtId="10" fontId="40" fillId="3" borderId="17" xfId="0" applyNumberFormat="1" applyFont="1" applyFill="1" applyBorder="1" applyAlignment="1">
      <alignment horizontal="center" vertical="center"/>
    </xf>
    <xf numFmtId="44" fontId="40" fillId="3" borderId="18" xfId="1" applyFont="1" applyFill="1" applyBorder="1" applyAlignment="1">
      <alignment horizontal="center" vertical="center"/>
    </xf>
    <xf numFmtId="0" fontId="40" fillId="3" borderId="19" xfId="0" applyFont="1" applyFill="1" applyBorder="1"/>
    <xf numFmtId="3" fontId="40" fillId="3" borderId="0" xfId="0" applyNumberFormat="1" applyFont="1" applyFill="1" applyAlignment="1">
      <alignment horizontal="center" vertical="center"/>
    </xf>
    <xf numFmtId="166" fontId="40" fillId="3" borderId="0" xfId="0" applyNumberFormat="1" applyFont="1" applyFill="1" applyAlignment="1">
      <alignment horizontal="center" vertical="center"/>
    </xf>
    <xf numFmtId="10" fontId="40" fillId="3" borderId="0" xfId="0" applyNumberFormat="1" applyFont="1" applyFill="1" applyAlignment="1">
      <alignment horizontal="center" vertical="center"/>
    </xf>
    <xf numFmtId="44" fontId="40" fillId="3" borderId="20" xfId="1" applyFont="1" applyFill="1" applyBorder="1" applyAlignment="1">
      <alignment horizontal="center" vertical="center"/>
    </xf>
    <xf numFmtId="0" fontId="40" fillId="3" borderId="21" xfId="0" applyFont="1" applyFill="1" applyBorder="1"/>
    <xf numFmtId="3" fontId="40" fillId="3" borderId="22" xfId="0" applyNumberFormat="1" applyFont="1" applyFill="1" applyBorder="1" applyAlignment="1">
      <alignment horizontal="center" vertical="center"/>
    </xf>
    <xf numFmtId="166" fontId="40" fillId="3" borderId="22" xfId="0" applyNumberFormat="1" applyFont="1" applyFill="1" applyBorder="1" applyAlignment="1">
      <alignment horizontal="center" vertical="center"/>
    </xf>
    <xf numFmtId="10" fontId="40" fillId="3" borderId="22" xfId="0" applyNumberFormat="1" applyFont="1" applyFill="1" applyBorder="1" applyAlignment="1">
      <alignment horizontal="center" vertical="center"/>
    </xf>
    <xf numFmtId="44" fontId="40" fillId="3" borderId="23" xfId="1" applyFont="1" applyFill="1" applyBorder="1" applyAlignment="1">
      <alignment horizontal="center" vertical="center"/>
    </xf>
    <xf numFmtId="0" fontId="35" fillId="4" borderId="42" xfId="5" applyFont="1" applyFill="1" applyBorder="1" applyAlignment="1">
      <alignment horizontal="center" vertical="center" wrapText="1"/>
    </xf>
    <xf numFmtId="0" fontId="35" fillId="4" borderId="42" xfId="5" applyFont="1" applyFill="1" applyBorder="1" applyAlignment="1">
      <alignment horizontal="center" vertical="center"/>
    </xf>
    <xf numFmtId="0" fontId="35" fillId="4" borderId="31" xfId="5" applyFont="1" applyFill="1" applyBorder="1" applyAlignment="1">
      <alignment horizontal="center" vertical="center"/>
    </xf>
    <xf numFmtId="0" fontId="35" fillId="4" borderId="26" xfId="0" applyFont="1" applyFill="1" applyBorder="1" applyAlignment="1">
      <alignment horizontal="center" vertical="center"/>
    </xf>
    <xf numFmtId="0" fontId="35" fillId="4" borderId="25" xfId="0" applyFont="1" applyFill="1" applyBorder="1" applyAlignment="1">
      <alignment horizontal="center" vertical="center"/>
    </xf>
    <xf numFmtId="0" fontId="28" fillId="4" borderId="74" xfId="0" applyFont="1" applyFill="1" applyBorder="1" applyAlignment="1">
      <alignment vertical="center"/>
    </xf>
    <xf numFmtId="0" fontId="28" fillId="4" borderId="72" xfId="0" applyFont="1" applyFill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9" fillId="0" borderId="34" xfId="3" applyFont="1" applyBorder="1" applyAlignment="1">
      <alignment vertical="center"/>
    </xf>
    <xf numFmtId="166" fontId="27" fillId="0" borderId="44" xfId="0" applyNumberFormat="1" applyFont="1" applyBorder="1" applyAlignment="1">
      <alignment horizontal="center" vertical="center"/>
    </xf>
    <xf numFmtId="0" fontId="29" fillId="0" borderId="33" xfId="3" applyFont="1" applyBorder="1" applyAlignment="1">
      <alignment vertical="center"/>
    </xf>
    <xf numFmtId="166" fontId="27" fillId="0" borderId="46" xfId="0" applyNumberFormat="1" applyFont="1" applyBorder="1" applyAlignment="1">
      <alignment horizontal="center" vertical="center"/>
    </xf>
    <xf numFmtId="44" fontId="27" fillId="2" borderId="34" xfId="1" applyFont="1" applyFill="1" applyBorder="1" applyAlignment="1">
      <alignment horizontal="right" vertical="center"/>
    </xf>
    <xf numFmtId="0" fontId="30" fillId="0" borderId="40" xfId="0" applyFont="1" applyBorder="1" applyAlignment="1">
      <alignment vertical="center"/>
    </xf>
    <xf numFmtId="166" fontId="27" fillId="0" borderId="48" xfId="0" applyNumberFormat="1" applyFont="1" applyBorder="1" applyAlignment="1">
      <alignment horizontal="center" vertical="center"/>
    </xf>
    <xf numFmtId="0" fontId="30" fillId="0" borderId="34" xfId="0" applyFont="1" applyBorder="1" applyAlignment="1">
      <alignment vertical="center"/>
    </xf>
    <xf numFmtId="44" fontId="27" fillId="0" borderId="34" xfId="1" applyFont="1" applyFill="1" applyBorder="1" applyAlignment="1">
      <alignment horizontal="center" vertical="center"/>
    </xf>
    <xf numFmtId="44" fontId="27" fillId="0" borderId="44" xfId="1" applyFont="1" applyFill="1" applyBorder="1" applyAlignment="1">
      <alignment horizontal="center" vertical="center"/>
    </xf>
    <xf numFmtId="44" fontId="27" fillId="0" borderId="40" xfId="1" applyFont="1" applyFill="1" applyBorder="1" applyAlignment="1">
      <alignment horizontal="center" vertical="center"/>
    </xf>
    <xf numFmtId="44" fontId="27" fillId="0" borderId="48" xfId="1" applyFont="1" applyFill="1" applyBorder="1" applyAlignment="1">
      <alignment horizontal="center" vertical="center"/>
    </xf>
    <xf numFmtId="44" fontId="27" fillId="0" borderId="0" xfId="1" applyFont="1" applyFill="1" applyBorder="1" applyAlignment="1">
      <alignment horizontal="center" vertical="center"/>
    </xf>
    <xf numFmtId="0" fontId="30" fillId="0" borderId="92" xfId="0" applyFont="1" applyBorder="1" applyAlignment="1">
      <alignment vertical="center"/>
    </xf>
    <xf numFmtId="0" fontId="27" fillId="0" borderId="92" xfId="0" applyFont="1" applyBorder="1" applyAlignment="1">
      <alignment vertical="center"/>
    </xf>
    <xf numFmtId="44" fontId="27" fillId="2" borderId="92" xfId="1" applyFont="1" applyFill="1" applyBorder="1" applyAlignment="1">
      <alignment horizontal="center" vertical="center"/>
    </xf>
    <xf numFmtId="166" fontId="27" fillId="0" borderId="94" xfId="0" applyNumberFormat="1" applyFont="1" applyBorder="1" applyAlignment="1">
      <alignment horizontal="center" vertical="center"/>
    </xf>
    <xf numFmtId="0" fontId="30" fillId="0" borderId="99" xfId="0" applyFont="1" applyBorder="1" applyAlignment="1">
      <alignment vertical="center"/>
    </xf>
    <xf numFmtId="166" fontId="27" fillId="0" borderId="100" xfId="0" applyNumberFormat="1" applyFont="1" applyBorder="1" applyAlignment="1">
      <alignment horizontal="center" vertical="center"/>
    </xf>
    <xf numFmtId="0" fontId="3" fillId="0" borderId="68" xfId="0" applyFont="1" applyBorder="1" applyAlignment="1">
      <alignment horizontal="left" vertical="center"/>
    </xf>
    <xf numFmtId="0" fontId="3" fillId="0" borderId="74" xfId="0" applyFont="1" applyBorder="1" applyAlignment="1">
      <alignment horizontal="left" vertical="center"/>
    </xf>
    <xf numFmtId="0" fontId="3" fillId="0" borderId="72" xfId="0" applyFont="1" applyBorder="1" applyAlignment="1">
      <alignment horizontal="left" vertical="center"/>
    </xf>
    <xf numFmtId="0" fontId="43" fillId="0" borderId="20" xfId="0" applyFont="1" applyBorder="1" applyAlignment="1">
      <alignment horizontal="center" vertical="center"/>
    </xf>
    <xf numFmtId="0" fontId="45" fillId="0" borderId="20" xfId="3" applyFont="1" applyBorder="1" applyAlignment="1">
      <alignment vertical="top"/>
    </xf>
    <xf numFmtId="0" fontId="45" fillId="0" borderId="20" xfId="3" applyFont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35" fillId="4" borderId="43" xfId="5" applyFont="1" applyFill="1" applyBorder="1" applyAlignment="1">
      <alignment vertical="center"/>
    </xf>
    <xf numFmtId="0" fontId="36" fillId="2" borderId="34" xfId="5" applyFont="1" applyFill="1" applyBorder="1" applyAlignment="1">
      <alignment horizontal="center" vertical="center"/>
    </xf>
    <xf numFmtId="0" fontId="35" fillId="4" borderId="34" xfId="5" applyFont="1" applyFill="1" applyBorder="1" applyAlignment="1">
      <alignment vertical="center"/>
    </xf>
    <xf numFmtId="44" fontId="36" fillId="2" borderId="44" xfId="1" applyFont="1" applyFill="1" applyBorder="1" applyAlignment="1">
      <alignment horizontal="center" vertical="center"/>
    </xf>
    <xf numFmtId="0" fontId="35" fillId="4" borderId="45" xfId="5" applyFont="1" applyFill="1" applyBorder="1" applyAlignment="1">
      <alignment vertical="center"/>
    </xf>
    <xf numFmtId="0" fontId="36" fillId="2" borderId="32" xfId="5" applyFont="1" applyFill="1" applyBorder="1" applyAlignment="1">
      <alignment horizontal="center" vertical="center"/>
    </xf>
    <xf numFmtId="0" fontId="35" fillId="4" borderId="32" xfId="5" applyFont="1" applyFill="1" applyBorder="1" applyAlignment="1">
      <alignment vertical="center"/>
    </xf>
    <xf numFmtId="44" fontId="36" fillId="2" borderId="46" xfId="1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42" fillId="0" borderId="0" xfId="0" applyFont="1" applyAlignment="1">
      <alignment vertical="center"/>
    </xf>
    <xf numFmtId="14" fontId="36" fillId="2" borderId="46" xfId="1" applyNumberFormat="1" applyFont="1" applyFill="1" applyBorder="1" applyAlignment="1">
      <alignment horizontal="center" vertical="center"/>
    </xf>
    <xf numFmtId="1" fontId="36" fillId="2" borderId="46" xfId="1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35" fillId="4" borderId="47" xfId="5" applyFont="1" applyFill="1" applyBorder="1" applyAlignment="1">
      <alignment vertical="center"/>
    </xf>
    <xf numFmtId="0" fontId="36" fillId="2" borderId="40" xfId="5" applyFont="1" applyFill="1" applyBorder="1" applyAlignment="1">
      <alignment horizontal="center" vertical="center"/>
    </xf>
    <xf numFmtId="0" fontId="35" fillId="4" borderId="40" xfId="5" applyFont="1" applyFill="1" applyBorder="1" applyAlignment="1">
      <alignment vertical="center"/>
    </xf>
    <xf numFmtId="1" fontId="36" fillId="2" borderId="48" xfId="1" applyNumberFormat="1" applyFont="1" applyFill="1" applyBorder="1" applyAlignment="1">
      <alignment horizontal="center" vertical="center"/>
    </xf>
    <xf numFmtId="17" fontId="47" fillId="0" borderId="0" xfId="3" applyNumberFormat="1" applyFont="1" applyAlignment="1">
      <alignment horizontal="left" vertical="center"/>
    </xf>
    <xf numFmtId="0" fontId="31" fillId="0" borderId="19" xfId="0" applyFont="1" applyBorder="1"/>
    <xf numFmtId="0" fontId="35" fillId="4" borderId="16" xfId="5" applyFont="1" applyFill="1" applyBorder="1" applyAlignment="1">
      <alignment horizontal="center" vertical="center"/>
    </xf>
    <xf numFmtId="0" fontId="35" fillId="4" borderId="17" xfId="5" applyFont="1" applyFill="1" applyBorder="1" applyAlignment="1">
      <alignment horizontal="center" vertical="center"/>
    </xf>
    <xf numFmtId="0" fontId="35" fillId="4" borderId="18" xfId="5" applyFont="1" applyFill="1" applyBorder="1" applyAlignment="1">
      <alignment horizontal="center" vertical="center"/>
    </xf>
    <xf numFmtId="0" fontId="31" fillId="0" borderId="20" xfId="0" applyFont="1" applyBorder="1"/>
    <xf numFmtId="0" fontId="31" fillId="0" borderId="0" xfId="0" applyFont="1" applyAlignment="1">
      <alignment horizontal="left"/>
    </xf>
    <xf numFmtId="0" fontId="42" fillId="0" borderId="0" xfId="0" applyFont="1"/>
    <xf numFmtId="0" fontId="40" fillId="0" borderId="0" xfId="0" applyFont="1"/>
    <xf numFmtId="9" fontId="40" fillId="3" borderId="20" xfId="2" applyFont="1" applyFill="1" applyBorder="1"/>
    <xf numFmtId="0" fontId="42" fillId="0" borderId="0" xfId="0" applyFont="1" applyAlignment="1">
      <alignment vertical="top"/>
    </xf>
    <xf numFmtId="0" fontId="40" fillId="0" borderId="0" xfId="0" applyFont="1" applyAlignment="1">
      <alignment vertical="top"/>
    </xf>
    <xf numFmtId="44" fontId="40" fillId="3" borderId="0" xfId="1" applyFont="1" applyFill="1" applyBorder="1" applyAlignment="1">
      <alignment vertical="center"/>
    </xf>
    <xf numFmtId="0" fontId="35" fillId="4" borderId="21" xfId="5" applyFont="1" applyFill="1" applyBorder="1" applyAlignment="1">
      <alignment horizontal="center" vertical="center"/>
    </xf>
    <xf numFmtId="44" fontId="35" fillId="4" borderId="22" xfId="1" applyFont="1" applyFill="1" applyBorder="1" applyAlignment="1">
      <alignment horizontal="center" vertical="center"/>
    </xf>
    <xf numFmtId="9" fontId="35" fillId="4" borderId="23" xfId="2" applyFont="1" applyFill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5" fillId="0" borderId="20" xfId="3" applyFont="1" applyBorder="1" applyAlignment="1">
      <alignment vertical="center"/>
    </xf>
    <xf numFmtId="0" fontId="40" fillId="3" borderId="0" xfId="0" applyFont="1" applyFill="1" applyAlignment="1">
      <alignment vertical="center"/>
    </xf>
    <xf numFmtId="0" fontId="40" fillId="3" borderId="19" xfId="0" applyFont="1" applyFill="1" applyBorder="1" applyAlignment="1">
      <alignment wrapText="1"/>
    </xf>
    <xf numFmtId="0" fontId="49" fillId="0" borderId="0" xfId="0" applyFont="1" applyAlignment="1">
      <alignment vertical="center"/>
    </xf>
    <xf numFmtId="0" fontId="42" fillId="0" borderId="49" xfId="0" applyFont="1" applyBorder="1" applyAlignment="1">
      <alignment horizontal="left" vertical="top" wrapText="1"/>
    </xf>
    <xf numFmtId="0" fontId="42" fillId="0" borderId="91" xfId="0" applyFont="1" applyBorder="1" applyAlignment="1">
      <alignment horizontal="left" vertical="top" wrapText="1"/>
    </xf>
    <xf numFmtId="0" fontId="42" fillId="0" borderId="93" xfId="0" applyFont="1" applyBorder="1" applyAlignment="1">
      <alignment horizontal="left" vertical="top" wrapText="1"/>
    </xf>
    <xf numFmtId="0" fontId="42" fillId="0" borderId="68" xfId="0" applyFont="1" applyBorder="1" applyAlignment="1">
      <alignment horizontal="left" vertical="top" wrapText="1"/>
    </xf>
    <xf numFmtId="0" fontId="42" fillId="0" borderId="74" xfId="0" applyFont="1" applyBorder="1" applyAlignment="1">
      <alignment horizontal="left" vertical="top" wrapText="1"/>
    </xf>
    <xf numFmtId="0" fontId="42" fillId="0" borderId="72" xfId="0" applyFont="1" applyBorder="1" applyAlignment="1">
      <alignment horizontal="left" vertical="top" wrapText="1"/>
    </xf>
    <xf numFmtId="0" fontId="10" fillId="4" borderId="25" xfId="0" applyFont="1" applyFill="1" applyBorder="1" applyAlignment="1">
      <alignment horizontal="center" vertical="center" wrapText="1"/>
    </xf>
    <xf numFmtId="0" fontId="3" fillId="0" borderId="68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2" xfId="0" applyFont="1" applyBorder="1" applyAlignment="1">
      <alignment horizontal="left" vertical="center" wrapText="1"/>
    </xf>
    <xf numFmtId="44" fontId="36" fillId="3" borderId="0" xfId="1" applyFont="1" applyFill="1" applyBorder="1" applyAlignment="1">
      <alignment vertical="center"/>
    </xf>
    <xf numFmtId="0" fontId="27" fillId="0" borderId="16" xfId="0" applyFont="1" applyBorder="1" applyAlignment="1">
      <alignment horizontal="left" vertical="center"/>
    </xf>
    <xf numFmtId="0" fontId="27" fillId="0" borderId="17" xfId="0" applyFont="1" applyBorder="1" applyAlignment="1">
      <alignment horizontal="left" vertical="center"/>
    </xf>
    <xf numFmtId="0" fontId="27" fillId="0" borderId="18" xfId="0" applyFont="1" applyBorder="1" applyAlignment="1">
      <alignment horizontal="left" vertical="center"/>
    </xf>
    <xf numFmtId="0" fontId="30" fillId="0" borderId="19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51" fillId="0" borderId="20" xfId="0" applyFont="1" applyBorder="1" applyAlignment="1">
      <alignment horizontal="left" vertical="center"/>
    </xf>
    <xf numFmtId="0" fontId="27" fillId="0" borderId="20" xfId="0" applyFont="1" applyBorder="1" applyAlignment="1">
      <alignment horizontal="left" vertical="center"/>
    </xf>
    <xf numFmtId="0" fontId="27" fillId="0" borderId="20" xfId="0" applyFont="1" applyBorder="1" applyAlignment="1">
      <alignment horizontal="left"/>
    </xf>
    <xf numFmtId="0" fontId="27" fillId="0" borderId="19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50" fillId="0" borderId="19" xfId="0" applyFont="1" applyBorder="1" applyAlignment="1">
      <alignment horizontal="left" vertical="center"/>
    </xf>
    <xf numFmtId="0" fontId="27" fillId="0" borderId="20" xfId="0" applyFont="1" applyBorder="1" applyAlignment="1">
      <alignment horizontal="left" vertical="top"/>
    </xf>
    <xf numFmtId="0" fontId="27" fillId="0" borderId="19" xfId="0" applyFont="1" applyBorder="1" applyAlignment="1">
      <alignment horizontal="left" vertical="top"/>
    </xf>
    <xf numFmtId="44" fontId="27" fillId="0" borderId="107" xfId="0" applyNumberFormat="1" applyFont="1" applyBorder="1" applyAlignment="1">
      <alignment horizontal="left" vertical="center"/>
    </xf>
    <xf numFmtId="0" fontId="50" fillId="0" borderId="108" xfId="0" applyFont="1" applyBorder="1" applyAlignment="1">
      <alignment horizontal="left" vertical="top"/>
    </xf>
    <xf numFmtId="44" fontId="27" fillId="0" borderId="109" xfId="0" applyNumberFormat="1" applyFont="1" applyBorder="1" applyAlignment="1">
      <alignment horizontal="left" vertical="top"/>
    </xf>
    <xf numFmtId="44" fontId="52" fillId="3" borderId="43" xfId="0" applyNumberFormat="1" applyFont="1" applyFill="1" applyBorder="1" applyAlignment="1">
      <alignment horizontal="left" vertical="center"/>
    </xf>
    <xf numFmtId="44" fontId="52" fillId="3" borderId="44" xfId="0" applyNumberFormat="1" applyFont="1" applyFill="1" applyBorder="1" applyAlignment="1">
      <alignment horizontal="left" vertical="center"/>
    </xf>
    <xf numFmtId="44" fontId="27" fillId="0" borderId="47" xfId="0" applyNumberFormat="1" applyFont="1" applyBorder="1" applyAlignment="1">
      <alignment horizontal="left"/>
    </xf>
    <xf numFmtId="44" fontId="27" fillId="0" borderId="48" xfId="0" applyNumberFormat="1" applyFont="1" applyBorder="1" applyAlignment="1">
      <alignment horizontal="left"/>
    </xf>
    <xf numFmtId="0" fontId="44" fillId="0" borderId="0" xfId="0" applyFont="1" applyAlignment="1">
      <alignment horizontal="left" vertical="top"/>
    </xf>
    <xf numFmtId="0" fontId="50" fillId="0" borderId="21" xfId="0" applyFont="1" applyBorder="1" applyAlignment="1">
      <alignment horizontal="center" vertical="center"/>
    </xf>
    <xf numFmtId="0" fontId="50" fillId="0" borderId="22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53" fillId="0" borderId="30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48" fillId="0" borderId="30" xfId="5" applyFont="1" applyBorder="1" applyAlignment="1">
      <alignment horizontal="center" vertical="center" wrapText="1"/>
    </xf>
    <xf numFmtId="0" fontId="48" fillId="0" borderId="42" xfId="5" applyFont="1" applyBorder="1" applyAlignment="1">
      <alignment horizontal="center" vertical="center" wrapText="1"/>
    </xf>
    <xf numFmtId="0" fontId="48" fillId="0" borderId="31" xfId="5" applyFont="1" applyBorder="1" applyAlignment="1">
      <alignment horizontal="center" vertical="center" wrapText="1"/>
    </xf>
    <xf numFmtId="0" fontId="37" fillId="0" borderId="27" xfId="0" applyFont="1" applyBorder="1" applyAlignment="1">
      <alignment horizontal="left" vertical="top"/>
    </xf>
    <xf numFmtId="0" fontId="38" fillId="0" borderId="27" xfId="0" applyFont="1" applyBorder="1" applyAlignment="1">
      <alignment horizontal="left" vertical="top"/>
    </xf>
    <xf numFmtId="0" fontId="37" fillId="0" borderId="28" xfId="0" applyFont="1" applyBorder="1" applyAlignment="1">
      <alignment horizontal="left" vertical="top"/>
    </xf>
    <xf numFmtId="0" fontId="12" fillId="0" borderId="28" xfId="0" applyFont="1" applyBorder="1" applyAlignment="1">
      <alignment horizontal="left" vertical="center"/>
    </xf>
    <xf numFmtId="0" fontId="13" fillId="0" borderId="28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24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5" fillId="2" borderId="30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44" fontId="22" fillId="2" borderId="37" xfId="1" applyFont="1" applyFill="1" applyBorder="1" applyAlignment="1">
      <alignment horizontal="center" vertical="center"/>
    </xf>
    <xf numFmtId="44" fontId="22" fillId="2" borderId="36" xfId="1" applyFont="1" applyFill="1" applyBorder="1" applyAlignment="1">
      <alignment horizontal="center" vertical="center"/>
    </xf>
    <xf numFmtId="44" fontId="22" fillId="2" borderId="15" xfId="1" applyFont="1" applyFill="1" applyBorder="1" applyAlignment="1">
      <alignment horizontal="center" vertical="center"/>
    </xf>
    <xf numFmtId="44" fontId="22" fillId="2" borderId="14" xfId="1" applyFont="1" applyFill="1" applyBorder="1" applyAlignment="1">
      <alignment horizontal="center" vertical="center"/>
    </xf>
    <xf numFmtId="0" fontId="21" fillId="4" borderId="76" xfId="0" applyFont="1" applyFill="1" applyBorder="1" applyAlignment="1">
      <alignment horizontal="center" vertical="center"/>
    </xf>
    <xf numFmtId="0" fontId="21" fillId="4" borderId="73" xfId="0" applyFont="1" applyFill="1" applyBorder="1" applyAlignment="1">
      <alignment horizontal="center" vertical="center"/>
    </xf>
    <xf numFmtId="0" fontId="21" fillId="4" borderId="31" xfId="0" applyFont="1" applyFill="1" applyBorder="1" applyAlignment="1">
      <alignment horizontal="center" vertical="center"/>
    </xf>
    <xf numFmtId="44" fontId="22" fillId="2" borderId="71" xfId="1" applyFont="1" applyFill="1" applyBorder="1" applyAlignment="1">
      <alignment horizontal="center" vertical="center"/>
    </xf>
    <xf numFmtId="44" fontId="22" fillId="2" borderId="80" xfId="1" applyFont="1" applyFill="1" applyBorder="1" applyAlignment="1">
      <alignment horizontal="center" vertical="center"/>
    </xf>
    <xf numFmtId="44" fontId="22" fillId="0" borderId="43" xfId="0" applyNumberFormat="1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44" fontId="22" fillId="0" borderId="47" xfId="0" applyNumberFormat="1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44" fontId="22" fillId="0" borderId="34" xfId="0" applyNumberFormat="1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44" fontId="22" fillId="0" borderId="40" xfId="0" applyNumberFormat="1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44" fontId="22" fillId="2" borderId="41" xfId="1" applyFont="1" applyFill="1" applyBorder="1" applyAlignment="1">
      <alignment horizontal="center" vertical="center"/>
    </xf>
    <xf numFmtId="44" fontId="22" fillId="2" borderId="70" xfId="1" applyFont="1" applyFill="1" applyBorder="1" applyAlignment="1">
      <alignment horizontal="center" vertical="center"/>
    </xf>
    <xf numFmtId="44" fontId="22" fillId="2" borderId="85" xfId="1" applyFont="1" applyFill="1" applyBorder="1" applyAlignment="1">
      <alignment horizontal="center" vertical="center"/>
    </xf>
    <xf numFmtId="0" fontId="15" fillId="0" borderId="29" xfId="0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/>
    </xf>
    <xf numFmtId="0" fontId="15" fillId="0" borderId="27" xfId="0" applyFont="1" applyBorder="1" applyAlignment="1">
      <alignment horizontal="left" vertical="top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8" fillId="4" borderId="30" xfId="0" applyFont="1" applyFill="1" applyBorder="1" applyAlignment="1">
      <alignment horizontal="left" vertical="center"/>
    </xf>
    <xf numFmtId="0" fontId="28" fillId="4" borderId="75" xfId="0" applyFont="1" applyFill="1" applyBorder="1" applyAlignment="1">
      <alignment horizontal="left" vertical="center"/>
    </xf>
    <xf numFmtId="0" fontId="12" fillId="0" borderId="29" xfId="0" applyFont="1" applyBorder="1" applyAlignment="1">
      <alignment horizontal="left" vertical="top"/>
    </xf>
    <xf numFmtId="0" fontId="12" fillId="0" borderId="27" xfId="0" applyFont="1" applyBorder="1" applyAlignment="1">
      <alignment horizontal="left" vertical="top"/>
    </xf>
    <xf numFmtId="0" fontId="13" fillId="0" borderId="27" xfId="0" applyFont="1" applyBorder="1" applyAlignment="1">
      <alignment horizontal="left" vertical="top"/>
    </xf>
    <xf numFmtId="0" fontId="28" fillId="4" borderId="78" xfId="3" applyFont="1" applyFill="1" applyBorder="1" applyAlignment="1">
      <alignment horizontal="center" vertical="center" wrapText="1"/>
    </xf>
    <xf numFmtId="0" fontId="28" fillId="4" borderId="2" xfId="3" applyFont="1" applyFill="1" applyBorder="1" applyAlignment="1">
      <alignment horizontal="center" vertical="center" wrapText="1"/>
    </xf>
    <xf numFmtId="0" fontId="28" fillId="4" borderId="49" xfId="3" applyFont="1" applyFill="1" applyBorder="1" applyAlignment="1">
      <alignment horizontal="center" vertical="center"/>
    </xf>
    <xf numFmtId="0" fontId="28" fillId="4" borderId="79" xfId="3" applyFont="1" applyFill="1" applyBorder="1" applyAlignment="1">
      <alignment horizontal="center" vertical="center"/>
    </xf>
    <xf numFmtId="0" fontId="28" fillId="4" borderId="61" xfId="3" applyFont="1" applyFill="1" applyBorder="1" applyAlignment="1">
      <alignment horizontal="center" vertical="center"/>
    </xf>
    <xf numFmtId="0" fontId="28" fillId="4" borderId="67" xfId="0" applyFont="1" applyFill="1" applyBorder="1" applyAlignment="1">
      <alignment horizontal="center" vertical="center"/>
    </xf>
    <xf numFmtId="0" fontId="28" fillId="4" borderId="75" xfId="0" applyFont="1" applyFill="1" applyBorder="1" applyAlignment="1">
      <alignment horizontal="center" vertical="center"/>
    </xf>
    <xf numFmtId="0" fontId="28" fillId="4" borderId="17" xfId="3" applyFont="1" applyFill="1" applyBorder="1" applyAlignment="1">
      <alignment horizontal="center" vertical="center"/>
    </xf>
    <xf numFmtId="0" fontId="28" fillId="4" borderId="22" xfId="3" applyFont="1" applyFill="1" applyBorder="1" applyAlignment="1">
      <alignment horizontal="center" vertical="center"/>
    </xf>
    <xf numFmtId="0" fontId="28" fillId="4" borderId="0" xfId="3" applyFont="1" applyFill="1" applyAlignment="1">
      <alignment horizontal="center" vertical="center"/>
    </xf>
    <xf numFmtId="0" fontId="18" fillId="0" borderId="28" xfId="0" applyFont="1" applyBorder="1" applyAlignment="1">
      <alignment horizontal="left" vertical="top"/>
    </xf>
    <xf numFmtId="0" fontId="19" fillId="0" borderId="28" xfId="0" applyFont="1" applyBorder="1" applyAlignment="1">
      <alignment horizontal="left" vertical="top"/>
    </xf>
    <xf numFmtId="0" fontId="28" fillId="4" borderId="16" xfId="3" applyFont="1" applyFill="1" applyBorder="1" applyAlignment="1">
      <alignment horizontal="center" vertical="center" wrapText="1"/>
    </xf>
    <xf numFmtId="0" fontId="28" fillId="4" borderId="19" xfId="3" applyFont="1" applyFill="1" applyBorder="1" applyAlignment="1">
      <alignment horizontal="center" vertical="center" wrapText="1"/>
    </xf>
    <xf numFmtId="0" fontId="28" fillId="4" borderId="21" xfId="3" applyFont="1" applyFill="1" applyBorder="1" applyAlignment="1">
      <alignment horizontal="center" vertical="center" wrapText="1"/>
    </xf>
    <xf numFmtId="0" fontId="28" fillId="4" borderId="16" xfId="3" applyFont="1" applyFill="1" applyBorder="1" applyAlignment="1">
      <alignment horizontal="center" vertical="center"/>
    </xf>
    <xf numFmtId="0" fontId="28" fillId="4" borderId="19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37" fillId="0" borderId="29" xfId="0" applyFont="1" applyBorder="1" applyAlignment="1">
      <alignment horizontal="left" vertical="top"/>
    </xf>
    <xf numFmtId="0" fontId="38" fillId="0" borderId="29" xfId="0" applyFont="1" applyBorder="1" applyAlignment="1">
      <alignment horizontal="left" vertical="top"/>
    </xf>
    <xf numFmtId="0" fontId="35" fillId="4" borderId="30" xfId="0" applyFont="1" applyFill="1" applyBorder="1" applyAlignment="1">
      <alignment horizontal="center" vertical="center"/>
    </xf>
    <xf numFmtId="0" fontId="35" fillId="4" borderId="31" xfId="0" applyFont="1" applyFill="1" applyBorder="1" applyAlignment="1">
      <alignment horizontal="center" vertical="center"/>
    </xf>
    <xf numFmtId="0" fontId="39" fillId="0" borderId="49" xfId="0" applyFont="1" applyBorder="1" applyAlignment="1">
      <alignment horizontal="left" vertical="center" wrapText="1"/>
    </xf>
    <xf numFmtId="0" fontId="39" fillId="0" borderId="91" xfId="0" applyFont="1" applyBorder="1" applyAlignment="1">
      <alignment horizontal="left" vertical="center" wrapText="1"/>
    </xf>
    <xf numFmtId="0" fontId="39" fillId="0" borderId="68" xfId="0" applyFont="1" applyBorder="1" applyAlignment="1">
      <alignment horizontal="left" vertical="center" wrapText="1"/>
    </xf>
    <xf numFmtId="0" fontId="39" fillId="0" borderId="74" xfId="0" applyFont="1" applyBorder="1" applyAlignment="1">
      <alignment horizontal="left" vertical="center" wrapText="1"/>
    </xf>
    <xf numFmtId="0" fontId="39" fillId="0" borderId="93" xfId="0" applyFont="1" applyBorder="1" applyAlignment="1">
      <alignment horizontal="left" vertical="center" wrapText="1"/>
    </xf>
    <xf numFmtId="0" fontId="39" fillId="0" borderId="72" xfId="0" applyFont="1" applyBorder="1" applyAlignment="1">
      <alignment horizontal="left" vertical="center" wrapText="1"/>
    </xf>
    <xf numFmtId="164" fontId="35" fillId="4" borderId="43" xfId="1" applyNumberFormat="1" applyFont="1" applyFill="1" applyBorder="1" applyAlignment="1">
      <alignment horizontal="center" vertical="center"/>
    </xf>
    <xf numFmtId="164" fontId="35" fillId="4" borderId="34" xfId="1" applyNumberFormat="1" applyFont="1" applyFill="1" applyBorder="1" applyAlignment="1">
      <alignment horizontal="center" vertical="center"/>
    </xf>
    <xf numFmtId="164" fontId="35" fillId="4" borderId="45" xfId="1" applyNumberFormat="1" applyFont="1" applyFill="1" applyBorder="1" applyAlignment="1">
      <alignment horizontal="center" vertical="center"/>
    </xf>
    <xf numFmtId="164" fontId="35" fillId="4" borderId="32" xfId="1" applyNumberFormat="1" applyFont="1" applyFill="1" applyBorder="1" applyAlignment="1">
      <alignment horizontal="center" vertical="center"/>
    </xf>
    <xf numFmtId="0" fontId="35" fillId="4" borderId="45" xfId="3" applyFont="1" applyFill="1" applyBorder="1" applyAlignment="1">
      <alignment horizontal="center" vertical="center"/>
    </xf>
    <xf numFmtId="0" fontId="35" fillId="4" borderId="32" xfId="3" applyFont="1" applyFill="1" applyBorder="1" applyAlignment="1">
      <alignment horizontal="center" vertical="center"/>
    </xf>
    <xf numFmtId="164" fontId="35" fillId="4" borderId="47" xfId="1" applyNumberFormat="1" applyFont="1" applyFill="1" applyBorder="1" applyAlignment="1">
      <alignment horizontal="center" vertical="center"/>
    </xf>
    <xf numFmtId="164" fontId="35" fillId="4" borderId="40" xfId="1" applyNumberFormat="1" applyFont="1" applyFill="1" applyBorder="1" applyAlignment="1">
      <alignment horizontal="center" vertical="center"/>
    </xf>
    <xf numFmtId="0" fontId="38" fillId="0" borderId="28" xfId="0" applyFont="1" applyBorder="1" applyAlignment="1">
      <alignment horizontal="left" vertical="top"/>
    </xf>
    <xf numFmtId="164" fontId="36" fillId="2" borderId="34" xfId="1" applyNumberFormat="1" applyFont="1" applyFill="1" applyBorder="1" applyAlignment="1">
      <alignment horizontal="left" vertical="center"/>
    </xf>
    <xf numFmtId="164" fontId="36" fillId="2" borderId="44" xfId="1" applyNumberFormat="1" applyFont="1" applyFill="1" applyBorder="1" applyAlignment="1">
      <alignment horizontal="left" vertical="center"/>
    </xf>
    <xf numFmtId="164" fontId="36" fillId="0" borderId="32" xfId="1" applyNumberFormat="1" applyFont="1" applyFill="1" applyBorder="1" applyAlignment="1">
      <alignment horizontal="left" vertical="center"/>
    </xf>
    <xf numFmtId="164" fontId="36" fillId="0" borderId="46" xfId="1" applyNumberFormat="1" applyFont="1" applyFill="1" applyBorder="1" applyAlignment="1">
      <alignment horizontal="left" vertical="center"/>
    </xf>
    <xf numFmtId="164" fontId="36" fillId="2" borderId="32" xfId="3" applyNumberFormat="1" applyFont="1" applyFill="1" applyBorder="1" applyAlignment="1">
      <alignment horizontal="left" vertical="center"/>
    </xf>
    <xf numFmtId="164" fontId="36" fillId="2" borderId="46" xfId="3" applyNumberFormat="1" applyFont="1" applyFill="1" applyBorder="1" applyAlignment="1">
      <alignment horizontal="left" vertical="center"/>
    </xf>
    <xf numFmtId="164" fontId="36" fillId="0" borderId="40" xfId="1" applyNumberFormat="1" applyFont="1" applyFill="1" applyBorder="1" applyAlignment="1">
      <alignment horizontal="left" vertical="center"/>
    </xf>
    <xf numFmtId="164" fontId="36" fillId="0" borderId="48" xfId="1" applyNumberFormat="1" applyFont="1" applyFill="1" applyBorder="1" applyAlignment="1">
      <alignment horizontal="left" vertical="center"/>
    </xf>
    <xf numFmtId="17" fontId="36" fillId="2" borderId="34" xfId="3" applyNumberFormat="1" applyFont="1" applyFill="1" applyBorder="1" applyAlignment="1">
      <alignment horizontal="left" vertical="center"/>
    </xf>
    <xf numFmtId="17" fontId="36" fillId="2" borderId="44" xfId="3" applyNumberFormat="1" applyFont="1" applyFill="1" applyBorder="1" applyAlignment="1">
      <alignment horizontal="left" vertical="center"/>
    </xf>
    <xf numFmtId="17" fontId="36" fillId="3" borderId="32" xfId="3" applyNumberFormat="1" applyFont="1" applyFill="1" applyBorder="1" applyAlignment="1">
      <alignment horizontal="left" vertical="center"/>
    </xf>
    <xf numFmtId="17" fontId="36" fillId="3" borderId="46" xfId="3" applyNumberFormat="1" applyFont="1" applyFill="1" applyBorder="1" applyAlignment="1">
      <alignment horizontal="left" vertical="center"/>
    </xf>
    <xf numFmtId="17" fontId="36" fillId="2" borderId="40" xfId="3" applyNumberFormat="1" applyFont="1" applyFill="1" applyBorder="1" applyAlignment="1">
      <alignment horizontal="left" vertical="center"/>
    </xf>
    <xf numFmtId="17" fontId="36" fillId="2" borderId="48" xfId="3" applyNumberFormat="1" applyFont="1" applyFill="1" applyBorder="1" applyAlignment="1">
      <alignment horizontal="left" vertical="center"/>
    </xf>
    <xf numFmtId="0" fontId="28" fillId="4" borderId="16" xfId="0" applyFont="1" applyFill="1" applyBorder="1" applyAlignment="1">
      <alignment horizontal="left" vertical="center"/>
    </xf>
    <xf numFmtId="0" fontId="28" fillId="4" borderId="81" xfId="0" applyFont="1" applyFill="1" applyBorder="1" applyAlignment="1">
      <alignment horizontal="left" vertical="center"/>
    </xf>
    <xf numFmtId="0" fontId="27" fillId="0" borderId="74" xfId="0" applyFont="1" applyBorder="1" applyAlignment="1">
      <alignment horizontal="center" vertical="center"/>
    </xf>
    <xf numFmtId="0" fontId="27" fillId="0" borderId="7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</cellXfs>
  <cellStyles count="7">
    <cellStyle name="Comma" xfId="6" builtinId="3"/>
    <cellStyle name="Currency" xfId="1" builtinId="4"/>
    <cellStyle name="Currency 2" xfId="4" xr:uid="{25505052-9E71-4221-9637-E0FE36FD823A}"/>
    <cellStyle name="Normal" xfId="0" builtinId="0"/>
    <cellStyle name="Normal 2" xfId="5" xr:uid="{2384C01C-64F6-4094-9D02-57EE6016F48F}"/>
    <cellStyle name="Normal 3 2 2" xfId="3" xr:uid="{928EF78C-C2A5-4EAD-A54C-AB94A67E5C1D}"/>
    <cellStyle name="Percent" xfId="2" builtinId="5"/>
  </cellStyles>
  <dxfs count="0"/>
  <tableStyles count="0" defaultTableStyle="TableStyleMedium2" defaultPivotStyle="PivotStyleLight16"/>
  <colors>
    <mruColors>
      <color rgb="FF3366FF"/>
      <color rgb="FF33009A"/>
      <color rgb="FF00B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sz="1800" b="1" i="0" baseline="0">
                <a:effectLst/>
              </a:rPr>
              <a:t>TARP - Bought vs. Delivered</a:t>
            </a:r>
            <a:endParaRPr lang="en-AU" sz="2000">
              <a:effectLst/>
            </a:endParaRPr>
          </a:p>
        </c:rich>
      </c:tx>
      <c:layout>
        <c:manualLayout>
          <c:xMode val="edge"/>
          <c:yMode val="edge"/>
          <c:x val="3.4795801770996046E-2"/>
          <c:y val="3.7573257224462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128574300817425E-2"/>
          <c:y val="0.14307823029711003"/>
          <c:w val="0.82531510204433634"/>
          <c:h val="0.77851325904741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'TV Data'!$D$6</c:f>
              <c:strCache>
                <c:ptCount val="1"/>
                <c:pt idx="0">
                  <c:v>Bought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'TV Data'!$C$7:$C$16</c:f>
              <c:strCache>
                <c:ptCount val="10"/>
                <c:pt idx="0">
                  <c:v>Syd</c:v>
                </c:pt>
                <c:pt idx="1">
                  <c:v>Melb</c:v>
                </c:pt>
                <c:pt idx="2">
                  <c:v>Bris</c:v>
                </c:pt>
                <c:pt idx="3">
                  <c:v>Adel</c:v>
                </c:pt>
                <c:pt idx="4">
                  <c:v>Perth</c:v>
                </c:pt>
                <c:pt idx="5">
                  <c:v>Nth NSW</c:v>
                </c:pt>
                <c:pt idx="6">
                  <c:v>Sth NSW</c:v>
                </c:pt>
                <c:pt idx="7">
                  <c:v>VIC</c:v>
                </c:pt>
                <c:pt idx="8">
                  <c:v>QLD</c:v>
                </c:pt>
                <c:pt idx="9">
                  <c:v>Tas</c:v>
                </c:pt>
              </c:strCache>
            </c:strRef>
          </c:cat>
          <c:val>
            <c:numRef>
              <c:f>'TV Data'!$D$7:$D$16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7-43F4-9787-E700660A7454}"/>
            </c:ext>
          </c:extLst>
        </c:ser>
        <c:ser>
          <c:idx val="1"/>
          <c:order val="1"/>
          <c:tx>
            <c:strRef>
              <c:f>'TV Data'!$E$6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'TV Data'!$C$7:$C$16</c:f>
              <c:strCache>
                <c:ptCount val="10"/>
                <c:pt idx="0">
                  <c:v>Syd</c:v>
                </c:pt>
                <c:pt idx="1">
                  <c:v>Melb</c:v>
                </c:pt>
                <c:pt idx="2">
                  <c:v>Bris</c:v>
                </c:pt>
                <c:pt idx="3">
                  <c:v>Adel</c:v>
                </c:pt>
                <c:pt idx="4">
                  <c:v>Perth</c:v>
                </c:pt>
                <c:pt idx="5">
                  <c:v>Nth NSW</c:v>
                </c:pt>
                <c:pt idx="6">
                  <c:v>Sth NSW</c:v>
                </c:pt>
                <c:pt idx="7">
                  <c:v>VIC</c:v>
                </c:pt>
                <c:pt idx="8">
                  <c:v>QLD</c:v>
                </c:pt>
                <c:pt idx="9">
                  <c:v>Tas</c:v>
                </c:pt>
              </c:strCache>
            </c:strRef>
          </c:cat>
          <c:val>
            <c:numRef>
              <c:f>'TV Data'!$E$7:$E$16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7-43F4-9787-E700660A74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10"/>
        <c:axId val="1659522416"/>
        <c:axId val="1671934640"/>
      </c:barChart>
      <c:catAx>
        <c:axId val="165952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34640"/>
        <c:crosses val="autoZero"/>
        <c:auto val="1"/>
        <c:lblAlgn val="ctr"/>
        <c:lblOffset val="100"/>
        <c:noMultiLvlLbl val="0"/>
      </c:catAx>
      <c:valAx>
        <c:axId val="167193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52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sz="1800" b="1" i="0" baseline="0">
                <a:effectLst/>
              </a:rPr>
              <a:t>Reach - Planned vs. Delivered</a:t>
            </a:r>
            <a:endParaRPr lang="en-AU" sz="2000">
              <a:effectLst/>
            </a:endParaRPr>
          </a:p>
        </c:rich>
      </c:tx>
      <c:layout>
        <c:manualLayout>
          <c:xMode val="edge"/>
          <c:yMode val="edge"/>
          <c:x val="4.1214465173856026E-2"/>
          <c:y val="3.276060155687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317584840427477E-2"/>
          <c:y val="0.14318902926626967"/>
          <c:w val="0.82060495843964054"/>
          <c:h val="0.779722755224135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'TV Data'!$F$6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'TV Data'!$C$7:$C$16</c:f>
              <c:strCache>
                <c:ptCount val="10"/>
                <c:pt idx="0">
                  <c:v>Syd</c:v>
                </c:pt>
                <c:pt idx="1">
                  <c:v>Melb</c:v>
                </c:pt>
                <c:pt idx="2">
                  <c:v>Bris</c:v>
                </c:pt>
                <c:pt idx="3">
                  <c:v>Adel</c:v>
                </c:pt>
                <c:pt idx="4">
                  <c:v>Perth</c:v>
                </c:pt>
                <c:pt idx="5">
                  <c:v>Nth NSW</c:v>
                </c:pt>
                <c:pt idx="6">
                  <c:v>Sth NSW</c:v>
                </c:pt>
                <c:pt idx="7">
                  <c:v>VIC</c:v>
                </c:pt>
                <c:pt idx="8">
                  <c:v>QLD</c:v>
                </c:pt>
                <c:pt idx="9">
                  <c:v>Tas</c:v>
                </c:pt>
              </c:strCache>
            </c:strRef>
          </c:cat>
          <c:val>
            <c:numRef>
              <c:f>'TV Data'!$F$7:$F$16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4-45E3-97DF-AE205CA9B8AB}"/>
            </c:ext>
          </c:extLst>
        </c:ser>
        <c:ser>
          <c:idx val="1"/>
          <c:order val="1"/>
          <c:tx>
            <c:strRef>
              <c:f>'TV Data'!$G$6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'TV Data'!$C$7:$C$16</c:f>
              <c:strCache>
                <c:ptCount val="10"/>
                <c:pt idx="0">
                  <c:v>Syd</c:v>
                </c:pt>
                <c:pt idx="1">
                  <c:v>Melb</c:v>
                </c:pt>
                <c:pt idx="2">
                  <c:v>Bris</c:v>
                </c:pt>
                <c:pt idx="3">
                  <c:v>Adel</c:v>
                </c:pt>
                <c:pt idx="4">
                  <c:v>Perth</c:v>
                </c:pt>
                <c:pt idx="5">
                  <c:v>Nth NSW</c:v>
                </c:pt>
                <c:pt idx="6">
                  <c:v>Sth NSW</c:v>
                </c:pt>
                <c:pt idx="7">
                  <c:v>VIC</c:v>
                </c:pt>
                <c:pt idx="8">
                  <c:v>QLD</c:v>
                </c:pt>
                <c:pt idx="9">
                  <c:v>Tas</c:v>
                </c:pt>
              </c:strCache>
            </c:strRef>
          </c:cat>
          <c:val>
            <c:numRef>
              <c:f>'TV Data'!$G$7:$G$16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CB-4D13-943F-4F716994D5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10"/>
        <c:axId val="1659522416"/>
        <c:axId val="1671934640"/>
      </c:barChart>
      <c:catAx>
        <c:axId val="165952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34640"/>
        <c:crosses val="autoZero"/>
        <c:auto val="1"/>
        <c:lblAlgn val="ctr"/>
        <c:lblOffset val="100"/>
        <c:noMultiLvlLbl val="0"/>
      </c:catAx>
      <c:valAx>
        <c:axId val="167193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52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Metro spend splits</a:t>
            </a:r>
          </a:p>
        </c:rich>
      </c:tx>
      <c:layout>
        <c:manualLayout>
          <c:xMode val="edge"/>
          <c:yMode val="edge"/>
          <c:x val="7.0582510996603912E-2"/>
          <c:y val="4.40801860130726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356194337230706"/>
          <c:y val="7.8108249003123784E-2"/>
          <c:w val="0.66202224469738036"/>
          <c:h val="0.820614763647776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C0-4320-B841-1A2C8248CA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C0-4320-B841-1A2C8248CA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C0-4320-B841-1A2C8248CA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C0-4320-B841-1A2C8248CA8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9BE5A62-D736-C647-B933-283522D835D5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6BF52E61-FEBC-EA44-916F-60BD7516B611}" type="PERCENTAGE">
                      <a:rPr lang="en-US" sz="2000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4C0-4320-B841-1A2C8248CA8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F7D4F24-274C-B74F-9B8D-A6AE9B330400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599CAF02-F402-6A40-9928-9F591D5523E4}" type="PERCENTAGE">
                      <a:rPr lang="en-US" sz="2000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4C0-4320-B841-1A2C8248CA8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27F5870-459E-F444-BF53-4DCB789D498C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96FB52E5-7392-494D-8598-7A8801C0AC6F}" type="PERCENTAGE">
                      <a:rPr lang="en-US" sz="2000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4C0-4320-B841-1A2C8248CA8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25B12D-DC75-5547-846C-67C3CABDF989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919A41DE-4EC0-6D47-9FF8-1D8DDE77F56F}" type="PERCENTAGE">
                      <a:rPr lang="en-US" sz="2000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D4C0-4320-B841-1A2C8248CA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'TV Data'!$C$19:$C$22</c:f>
              <c:strCache>
                <c:ptCount val="4"/>
                <c:pt idx="0">
                  <c:v>Seven</c:v>
                </c:pt>
                <c:pt idx="1">
                  <c:v>Nine</c:v>
                </c:pt>
                <c:pt idx="2">
                  <c:v>Ten</c:v>
                </c:pt>
                <c:pt idx="3">
                  <c:v>SBS</c:v>
                </c:pt>
              </c:strCache>
            </c:strRef>
          </c:cat>
          <c:val>
            <c:numRef>
              <c:f>'TV Data'!$D$19:$D$22</c:f>
              <c:numCache>
                <c:formatCode>_("$"* #,##0.00_);_("$"* \(#,##0.00\);_("$"*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A-42B1-BB43-012171BC932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Regional spend splits</a:t>
            </a:r>
          </a:p>
        </c:rich>
      </c:tx>
      <c:layout>
        <c:manualLayout>
          <c:xMode val="edge"/>
          <c:yMode val="edge"/>
          <c:x val="4.0401490606438072E-2"/>
          <c:y val="3.99487309194683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588245637698973"/>
          <c:y val="7.3937307122279902E-2"/>
          <c:w val="0.64536825831790179"/>
          <c:h val="0.8363430941571463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D6-454C-B471-894F81D7A6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D6-454C-B471-894F81D7A6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D6-454C-B471-894F81D7A6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C8-4EAF-85DE-ED87A2EB919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77A1E35-1698-A945-AEBE-1C87596F03D0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0FBD6CB7-C33A-3144-9B1A-4AACC3FB61B2}" type="PERCENTAGE">
                      <a:rPr lang="en-US" sz="2000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2D6-454C-B471-894F81D7A6D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539E21-F83B-1C4A-A77D-8F52059C4AF7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5E64C3F0-6CB3-5A4B-AE68-12C678450669}" type="PERCENTAGE">
                      <a:rPr lang="en-US" sz="2000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2D6-454C-B471-894F81D7A6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E761B6-4CA0-7E47-BC85-4CF8335DE5EF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FBA71401-868E-9845-923E-5922BD6ACCE0}" type="PERCENTAGE">
                      <a:rPr lang="en-US" sz="2000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2D6-454C-B471-894F81D7A6D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7C8-4EAF-85DE-ED87A2EB91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'TV Data'!$C$23:$C$26</c:f>
              <c:strCache>
                <c:ptCount val="4"/>
                <c:pt idx="0">
                  <c:v>SAS</c:v>
                </c:pt>
                <c:pt idx="1">
                  <c:v>SCA</c:v>
                </c:pt>
                <c:pt idx="2">
                  <c:v>WIN</c:v>
                </c:pt>
                <c:pt idx="3">
                  <c:v>SBS</c:v>
                </c:pt>
              </c:strCache>
            </c:strRef>
          </c:cat>
          <c:val>
            <c:numRef>
              <c:f>'TV Data'!$D$23:$D$26</c:f>
              <c:numCache>
                <c:formatCode>_("$"* #,##0.00_);_("$"* \(#,##0.00\);_("$"*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D6-454C-B471-894F81D7A6D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C8-4EAF-85DE-ED87A2EB91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C8-4EAF-85DE-ED87A2EB91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7C8-4EAF-85DE-ED87A2EB91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7C8-4EAF-85DE-ED87A2EB91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'TV Data'!$C$23:$C$26</c:f>
              <c:strCache>
                <c:ptCount val="4"/>
                <c:pt idx="0">
                  <c:v>SAS</c:v>
                </c:pt>
                <c:pt idx="1">
                  <c:v>SCA</c:v>
                </c:pt>
                <c:pt idx="2">
                  <c:v>WIN</c:v>
                </c:pt>
                <c:pt idx="3">
                  <c:v>SBS</c:v>
                </c:pt>
              </c:strCache>
            </c:strRef>
          </c:cat>
          <c:val>
            <c:numRef>
              <c:f>'TV Data'!$E$23:$E$26</c:f>
              <c:numCache>
                <c:formatCode>_("$"* #,##0.00_);_("$"* \(#,##0.00\);_("$"* "-"??_);_(@_)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7-080B-4028-A1C5-8822914B6B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Metro spend splits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30438135805498"/>
          <c:y val="0.16867990635162561"/>
          <c:w val="0.66202224469738036"/>
          <c:h val="0.82061476364777663"/>
        </c:manualLayout>
      </c:layout>
      <c:pieChart>
        <c:varyColors val="1"/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Regional spend splits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30438135805498"/>
          <c:y val="0.16867990635162561"/>
          <c:w val="0.66202224469738036"/>
          <c:h val="0.82061476364777663"/>
        </c:manualLayout>
      </c:layout>
      <c:pieChart>
        <c:varyColors val="1"/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CALD spend splits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777127738673068"/>
          <c:y val="0.15084664462269592"/>
          <c:w val="0.66202224469738036"/>
          <c:h val="0.82061476364777663"/>
        </c:manualLayout>
      </c:layout>
      <c:pieChart>
        <c:varyColors val="1"/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Metro spend splits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30438135805498"/>
          <c:y val="0.16867990635162561"/>
          <c:w val="0.66202224469738036"/>
          <c:h val="0.820614763647776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FA-452C-859C-91FB30C2E8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FA-452C-859C-91FB30C2E8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FA-452C-859C-91FB30C2E8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'Press Data'!$C$3:$C$5</c:f>
              <c:strCache>
                <c:ptCount val="3"/>
                <c:pt idx="0">
                  <c:v>Newscorp</c:v>
                </c:pt>
                <c:pt idx="1">
                  <c:v>Nine</c:v>
                </c:pt>
                <c:pt idx="2">
                  <c:v>xxx</c:v>
                </c:pt>
              </c:strCache>
            </c:strRef>
          </c:cat>
          <c:val>
            <c:numRef>
              <c:f>'Press Data'!$F$3:$F$5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FA-452C-859C-91FB30C2E8B7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9FA-452C-859C-91FB30C2E8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'Press Data'!$C$3:$C$5</c:f>
              <c:strCache>
                <c:ptCount val="3"/>
                <c:pt idx="0">
                  <c:v>Newscorp</c:v>
                </c:pt>
                <c:pt idx="1">
                  <c:v>Nine</c:v>
                </c:pt>
                <c:pt idx="2">
                  <c:v>xxx</c:v>
                </c:pt>
              </c:strCache>
            </c:strRef>
          </c:cat>
          <c:val>
            <c:numRef>
              <c:f>'Press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9FA-452C-859C-91FB30C2E8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Regional spend splits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30438135805498"/>
          <c:y val="0.16867990635162561"/>
          <c:w val="0.66202224469738036"/>
          <c:h val="0.820614763647776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70-48D4-BE08-847CE39300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70-48D4-BE08-847CE39300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70-48D4-BE08-847CE39300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B3-411A-9559-943232E217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B3-411A-9559-943232E217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'Press Data'!$C$6:$C$10</c:f>
              <c:strCache>
                <c:ptCount val="5"/>
                <c:pt idx="0">
                  <c:v>RMC</c:v>
                </c:pt>
                <c:pt idx="1">
                  <c:v>ACM</c:v>
                </c:pt>
                <c:pt idx="2">
                  <c:v>CNAV</c:v>
                </c:pt>
                <c:pt idx="3">
                  <c:v>Newscorp</c:v>
                </c:pt>
                <c:pt idx="4">
                  <c:v>BOFB</c:v>
                </c:pt>
              </c:strCache>
            </c:strRef>
          </c:cat>
          <c:val>
            <c:numRef>
              <c:f>'Press Data'!$F$6:$F$10</c:f>
              <c:numCache>
                <c:formatCode>_("$"* #,##0.00_);_("$"* \(#,##0.00\);_("$"*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70-48D4-BE08-847CE393001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B70-48D4-BE08-847CE39300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'Press Data'!$C$6:$C$10</c:f>
              <c:strCache>
                <c:ptCount val="5"/>
                <c:pt idx="0">
                  <c:v>RMC</c:v>
                </c:pt>
                <c:pt idx="1">
                  <c:v>ACM</c:v>
                </c:pt>
                <c:pt idx="2">
                  <c:v>CNAV</c:v>
                </c:pt>
                <c:pt idx="3">
                  <c:v>Newscorp</c:v>
                </c:pt>
                <c:pt idx="4">
                  <c:v>BOFB</c:v>
                </c:pt>
              </c:strCache>
            </c:strRef>
          </c:cat>
          <c:val>
            <c:numRef>
              <c:f>'Press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B70-48D4-BE08-847CE393001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CALD spend splits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30438135805498"/>
          <c:y val="0.16867990635162561"/>
          <c:w val="0.66202224469738036"/>
          <c:h val="0.820614763647776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92-4147-9132-738240136A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92-4147-9132-738240136A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3F-42ED-AC9F-798DF5066A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'Press Data'!$C$11:$C$13</c:f>
              <c:strCache>
                <c:ptCount val="3"/>
                <c:pt idx="0">
                  <c:v>LEBA</c:v>
                </c:pt>
                <c:pt idx="1">
                  <c:v>xxx</c:v>
                </c:pt>
                <c:pt idx="2">
                  <c:v>xxx</c:v>
                </c:pt>
              </c:strCache>
            </c:strRef>
          </c:cat>
          <c:val>
            <c:numRef>
              <c:f>'Press Data'!$F$11:$F$13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92-4147-9132-738240136A1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492-4147-9132-738240136A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'Press Data'!$C$11:$C$13</c:f>
              <c:strCache>
                <c:ptCount val="3"/>
                <c:pt idx="0">
                  <c:v>LEBA</c:v>
                </c:pt>
                <c:pt idx="1">
                  <c:v>xxx</c:v>
                </c:pt>
                <c:pt idx="2">
                  <c:v>xxx</c:v>
                </c:pt>
              </c:strCache>
            </c:strRef>
          </c:cat>
          <c:val>
            <c:numRef>
              <c:f>'Press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92-4147-9132-738240136A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3"/>
                </a:solidFill>
              </a:rPr>
              <a:t>Metro spend splits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30438135805498"/>
          <c:y val="0.16867990635162561"/>
          <c:w val="0.66202224469738036"/>
          <c:h val="0.820614763647776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D5-4271-B81A-8F2B225EF7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D5-4271-B81A-8F2B225EF7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D5-4271-B81A-8F2B225EF7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D5-4271-B81A-8F2B225EF7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D5-4271-B81A-8F2B225EF7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'Radio Data'!$C$3:$C$7</c:f>
              <c:strCache>
                <c:ptCount val="5"/>
                <c:pt idx="0">
                  <c:v>SCA</c:v>
                </c:pt>
                <c:pt idx="1">
                  <c:v>NOVA</c:v>
                </c:pt>
                <c:pt idx="2">
                  <c:v>ARN</c:v>
                </c:pt>
                <c:pt idx="3">
                  <c:v>Nine</c:v>
                </c:pt>
                <c:pt idx="4">
                  <c:v>ATN</c:v>
                </c:pt>
              </c:strCache>
            </c:strRef>
          </c:cat>
          <c:val>
            <c:numRef>
              <c:f>'Radio Data'!$F$3:$F$7</c:f>
              <c:numCache>
                <c:formatCode>_("$"* #,##0.00_);_("$"* \(#,##0.00\);_("$"*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D5-4271-B81A-8F2B225EF79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5D5-4271-B81A-8F2B225EF7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'Radio Data'!$C$3:$C$7</c:f>
              <c:strCache>
                <c:ptCount val="5"/>
                <c:pt idx="0">
                  <c:v>SCA</c:v>
                </c:pt>
                <c:pt idx="1">
                  <c:v>NOVA</c:v>
                </c:pt>
                <c:pt idx="2">
                  <c:v>ARN</c:v>
                </c:pt>
                <c:pt idx="3">
                  <c:v>Nine</c:v>
                </c:pt>
                <c:pt idx="4">
                  <c:v>ATN</c:v>
                </c:pt>
              </c:strCache>
            </c:strRef>
          </c:cat>
          <c:val>
            <c:numRef>
              <c:f>'Radio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5D5-4271-B81A-8F2B225EF7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3"/>
                </a:solidFill>
              </a:rPr>
              <a:t>Regional spend splits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30438135805498"/>
          <c:y val="0.16867990635162561"/>
          <c:w val="0.66202224469738036"/>
          <c:h val="0.820614763647776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78-46BE-89F5-9C1BD09AC1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78-46BE-89F5-9C1BD09AC1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78-46BE-89F5-9C1BD09AC1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'Radio Data'!$C$8:$C$10</c:f>
              <c:strCache>
                <c:ptCount val="3"/>
                <c:pt idx="0">
                  <c:v>SCA</c:v>
                </c:pt>
                <c:pt idx="1">
                  <c:v>TRSN</c:v>
                </c:pt>
                <c:pt idx="2">
                  <c:v>ATN</c:v>
                </c:pt>
              </c:strCache>
            </c:strRef>
          </c:cat>
          <c:val>
            <c:numRef>
              <c:f>'Radio Data'!$F$8:$F$10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D78-46BE-89F5-9C1BD09AC197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D78-46BE-89F5-9C1BD09AC1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'Radio Data'!$C$8:$C$10</c:f>
              <c:strCache>
                <c:ptCount val="3"/>
                <c:pt idx="0">
                  <c:v>SCA</c:v>
                </c:pt>
                <c:pt idx="1">
                  <c:v>TRSN</c:v>
                </c:pt>
                <c:pt idx="2">
                  <c:v>ATN</c:v>
                </c:pt>
              </c:strCache>
            </c:strRef>
          </c:cat>
          <c:val>
            <c:numRef>
              <c:f>'Radio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D78-46BE-89F5-9C1BD09AC1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3"/>
                </a:solidFill>
              </a:rPr>
              <a:t>CALD spend splits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30438135805498"/>
          <c:y val="0.16867990635162561"/>
          <c:w val="0.66202224469738036"/>
          <c:h val="0.820614763647776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8F-4B70-98B9-2453051CE0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8F-4B70-98B9-2453051CE0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'Radio Data'!$C$11:$C$12</c:f>
              <c:strCache>
                <c:ptCount val="2"/>
                <c:pt idx="0">
                  <c:v>LEBA</c:v>
                </c:pt>
                <c:pt idx="1">
                  <c:v>SBS</c:v>
                </c:pt>
              </c:strCache>
            </c:strRef>
          </c:cat>
          <c:val>
            <c:numRef>
              <c:f>'Radio Data'!$F$11:$F$12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28F-4B70-98B9-2453051CE09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28F-4B70-98B9-2453051CE0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'Radio Data'!$C$11:$C$12</c:f>
              <c:strCache>
                <c:ptCount val="2"/>
                <c:pt idx="0">
                  <c:v>LEBA</c:v>
                </c:pt>
                <c:pt idx="1">
                  <c:v>SBS</c:v>
                </c:pt>
              </c:strCache>
            </c:strRef>
          </c:cat>
          <c:val>
            <c:numRef>
              <c:f>'Radio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28F-4B70-98B9-2453051CE09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3">
                    <a:lumMod val="75000"/>
                  </a:schemeClr>
                </a:solidFill>
              </a:rPr>
              <a:t>Metro spend splits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30438135805498"/>
          <c:y val="0.16867990635162561"/>
          <c:w val="0.66202224469738036"/>
          <c:h val="0.820614763647776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7-42AB-99BA-6D19BC7B88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7-42AB-99BA-6D19BC7B88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7-42AB-99BA-6D19BC7B88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7-42AB-99BA-6D19BC7B88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BC7-42AB-99BA-6D19BC7B88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657-439A-AB5C-62FD604EB7AA}"/>
              </c:ext>
            </c:extLst>
          </c:dPt>
          <c:dLbls>
            <c:dLbl>
              <c:idx val="3"/>
              <c:layout>
                <c:manualLayout>
                  <c:x val="-6.0155245357412679E-2"/>
                  <c:y val="8.16897647139011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C7-42AB-99BA-6D19BC7B88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'OOH Data'!$C$3:$C$8</c:f>
              <c:strCache>
                <c:ptCount val="6"/>
                <c:pt idx="0">
                  <c:v>JCDecaux</c:v>
                </c:pt>
                <c:pt idx="1">
                  <c:v>oOh! Media</c:v>
                </c:pt>
                <c:pt idx="2">
                  <c:v>QMS</c:v>
                </c:pt>
                <c:pt idx="3">
                  <c:v>Cartology (Shopper)</c:v>
                </c:pt>
                <c:pt idx="4">
                  <c:v>Val Morgan Outdoor</c:v>
                </c:pt>
                <c:pt idx="5">
                  <c:v>The Media Shop</c:v>
                </c:pt>
              </c:strCache>
            </c:strRef>
          </c:cat>
          <c:val>
            <c:numRef>
              <c:f>'OOH Data'!$F$3:$F$8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C7-42AB-99BA-6D19BC7B88B7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BC7-42AB-99BA-6D19BC7B88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'OOH Data'!$C$3:$C$8</c:f>
              <c:strCache>
                <c:ptCount val="6"/>
                <c:pt idx="0">
                  <c:v>JCDecaux</c:v>
                </c:pt>
                <c:pt idx="1">
                  <c:v>oOh! Media</c:v>
                </c:pt>
                <c:pt idx="2">
                  <c:v>QMS</c:v>
                </c:pt>
                <c:pt idx="3">
                  <c:v>Cartology (Shopper)</c:v>
                </c:pt>
                <c:pt idx="4">
                  <c:v>Val Morgan Outdoor</c:v>
                </c:pt>
                <c:pt idx="5">
                  <c:v>The Media Shop</c:v>
                </c:pt>
              </c:strCache>
            </c:strRef>
          </c:cat>
          <c:val>
            <c:numRef>
              <c:f>'OOH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BC7-42AB-99BA-6D19BC7B88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3">
                    <a:lumMod val="75000"/>
                  </a:schemeClr>
                </a:solidFill>
              </a:rPr>
              <a:t>Regional spend splits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30438135805498"/>
          <c:y val="0.16867990635162561"/>
          <c:w val="0.66202224469738036"/>
          <c:h val="0.820614763647776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26-49CA-AAA3-3E145BD6BB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26-49CA-AAA3-3E145BD6BB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26-49CA-AAA3-3E145BD6BB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68-4CB0-93CF-9A43C7BDC879}"/>
              </c:ext>
            </c:extLst>
          </c:dPt>
          <c:dLbls>
            <c:dLbl>
              <c:idx val="3"/>
              <c:layout>
                <c:manualLayout>
                  <c:x val="-0.27853787879986769"/>
                  <c:y val="9.96387519791542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68-4CB0-93CF-9A43C7BDC8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'OOH Data'!$C$9:$C$12</c:f>
              <c:strCache>
                <c:ptCount val="4"/>
                <c:pt idx="0">
                  <c:v>Cartology (Shopper)</c:v>
                </c:pt>
                <c:pt idx="1">
                  <c:v>Val Morgan Outdoor</c:v>
                </c:pt>
                <c:pt idx="2">
                  <c:v>The Media Shop</c:v>
                </c:pt>
                <c:pt idx="3">
                  <c:v>Gawk Outdoor</c:v>
                </c:pt>
              </c:strCache>
            </c:strRef>
          </c:cat>
          <c:val>
            <c:numRef>
              <c:f>'OOH Data'!$F$9:$F$12</c:f>
              <c:numCache>
                <c:formatCode>_("$"* #,##0.00_);_("$"* \(#,##0.00\);_("$"*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26-49CA-AAA3-3E145BD6BB2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A26-49CA-AAA3-3E145BD6BB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'OOH Data'!$C$9:$C$12</c:f>
              <c:strCache>
                <c:ptCount val="4"/>
                <c:pt idx="0">
                  <c:v>Cartology (Shopper)</c:v>
                </c:pt>
                <c:pt idx="1">
                  <c:v>Val Morgan Outdoor</c:v>
                </c:pt>
                <c:pt idx="2">
                  <c:v>The Media Shop</c:v>
                </c:pt>
                <c:pt idx="3">
                  <c:v>Gawk Outdoor</c:v>
                </c:pt>
              </c:strCache>
            </c:strRef>
          </c:cat>
          <c:val>
            <c:numRef>
              <c:f>'OOH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A26-49CA-AAA3-3E145BD6BB2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3">
                    <a:lumMod val="75000"/>
                  </a:schemeClr>
                </a:solidFill>
              </a:rPr>
              <a:t>CALD spend splits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30438135805498"/>
          <c:y val="0.16867990635162561"/>
          <c:w val="0.66202224469738036"/>
          <c:h val="0.820614763647776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C3-4207-A7FE-91A5113643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C3-4207-A7FE-91A5113643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2E-427B-88ED-011B9BE2FA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'OOH Data'!$C$13:$C$15</c:f>
              <c:strCache>
                <c:ptCount val="3"/>
                <c:pt idx="0">
                  <c:v>The Media Shop</c:v>
                </c:pt>
                <c:pt idx="1">
                  <c:v>S&amp;J</c:v>
                </c:pt>
                <c:pt idx="2">
                  <c:v>Locus Outdoor</c:v>
                </c:pt>
              </c:strCache>
            </c:strRef>
          </c:cat>
          <c:val>
            <c:numRef>
              <c:f>'OOH Data'!$F$13:$F$15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C3-4207-A7FE-91A51136435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5C3-4207-A7FE-91A5113643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'OOH Data'!$C$13:$C$15</c:f>
              <c:strCache>
                <c:ptCount val="3"/>
                <c:pt idx="0">
                  <c:v>The Media Shop</c:v>
                </c:pt>
                <c:pt idx="1">
                  <c:v>S&amp;J</c:v>
                </c:pt>
                <c:pt idx="2">
                  <c:v>Locus Outdoor</c:v>
                </c:pt>
              </c:strCache>
            </c:strRef>
          </c:cat>
          <c:val>
            <c:numRef>
              <c:f>'OOH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C3-4207-A7FE-91A51136435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Non</a:t>
            </a:r>
            <a:r>
              <a:rPr lang="en-US" sz="2000" b="1" baseline="0">
                <a:solidFill>
                  <a:schemeClr val="tx1"/>
                </a:solidFill>
              </a:rPr>
              <a:t> CALD</a:t>
            </a:r>
            <a:r>
              <a:rPr lang="en-US" sz="2000" b="1">
                <a:solidFill>
                  <a:schemeClr val="tx1"/>
                </a:solidFill>
              </a:rPr>
              <a:t> spend splits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30438135805498"/>
          <c:y val="0.16867990635162561"/>
          <c:w val="0.66202224469738036"/>
          <c:h val="0.820614763647776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AA-4E39-A65B-A011760104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DD-48B9-A134-D34D430E4A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DD-48B9-A134-D34D430E4A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DD-48B9-A134-D34D430E4A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DD-48B9-A134-D34D430E4A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'Direct Digi Data'!$C$3:$C$7</c:f>
              <c:strCache>
                <c:ptCount val="5"/>
                <c:pt idx="0">
                  <c:v>SEEK</c:v>
                </c:pt>
                <c:pt idx="1">
                  <c:v>SBS</c:v>
                </c:pt>
                <c:pt idx="2">
                  <c:v>NINE</c:v>
                </c:pt>
                <c:pt idx="3">
                  <c:v>TEN</c:v>
                </c:pt>
                <c:pt idx="4">
                  <c:v>xxx</c:v>
                </c:pt>
              </c:strCache>
            </c:strRef>
          </c:cat>
          <c:val>
            <c:numRef>
              <c:f>'Direct Digi Data'!$D$3:$D$7</c:f>
              <c:numCache>
                <c:formatCode>_("$"* #,##0.00_);_("$"* \(#,##0.00\);_("$"*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AA-4E39-A65B-A011760104E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EAA-4E39-A65B-A011760104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'Direct Digi Data'!$C$3:$C$7</c:f>
              <c:strCache>
                <c:ptCount val="5"/>
                <c:pt idx="0">
                  <c:v>SEEK</c:v>
                </c:pt>
                <c:pt idx="1">
                  <c:v>SBS</c:v>
                </c:pt>
                <c:pt idx="2">
                  <c:v>NINE</c:v>
                </c:pt>
                <c:pt idx="3">
                  <c:v>TEN</c:v>
                </c:pt>
                <c:pt idx="4">
                  <c:v>xxx</c:v>
                </c:pt>
              </c:strCache>
            </c:strRef>
          </c:cat>
          <c:val>
            <c:numRef>
              <c:f>'Direct Digi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AA-4E39-A65B-A011760104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CALD spend splits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30438135805498"/>
          <c:y val="0.16867990635162561"/>
          <c:w val="0.66202224469738036"/>
          <c:h val="0.820614763647776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B9-4AE0-BCB4-F11A04DFEC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B9-4AE0-BCB4-F11A04DFEC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'Direct Digi Data'!$C$11:$C$12</c:f>
              <c:strCache>
                <c:ptCount val="2"/>
                <c:pt idx="0">
                  <c:v>S&amp;J (Weibo)</c:v>
                </c:pt>
                <c:pt idx="1">
                  <c:v>InMobi</c:v>
                </c:pt>
              </c:strCache>
            </c:strRef>
          </c:cat>
          <c:val>
            <c:numRef>
              <c:f>'Direct Digi Data'!$D$11:$D$12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B9-4AE0-BCB4-F11A04DFECD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AB9-4AE0-BCB4-F11A04DFEC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'Direct Digi Data'!$C$11:$C$12</c:f>
              <c:strCache>
                <c:ptCount val="2"/>
                <c:pt idx="0">
                  <c:v>S&amp;J (Weibo)</c:v>
                </c:pt>
                <c:pt idx="1">
                  <c:v>InMobi</c:v>
                </c:pt>
              </c:strCache>
            </c:strRef>
          </c:cat>
          <c:val>
            <c:numRef>
              <c:f>'Direct Digi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AB9-4AE0-BCB4-F11A04DFEC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../media/image3.png"/><Relationship Id="rId7" Type="http://schemas.openxmlformats.org/officeDocument/2006/relationships/image" Target="../media/image4.jpe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image" Target="../media/image7.jpeg"/><Relationship Id="rId4" Type="http://schemas.openxmlformats.org/officeDocument/2006/relationships/chart" Target="../charts/chart5.xml"/><Relationship Id="rId9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1753467</xdr:colOff>
      <xdr:row>1</xdr:row>
      <xdr:rowOff>75766</xdr:rowOff>
    </xdr:from>
    <xdr:to>
      <xdr:col>5</xdr:col>
      <xdr:colOff>1591108</xdr:colOff>
      <xdr:row>4</xdr:row>
      <xdr:rowOff>75767</xdr:rowOff>
    </xdr:to>
    <xdr:sp macro="" textlink="">
      <xdr:nvSpPr>
        <xdr:cNvPr id="2" name="Title 1">
          <a:extLst>
            <a:ext uri="{FF2B5EF4-FFF2-40B4-BE49-F238E27FC236}">
              <a16:creationId xmlns:a16="http://schemas.microsoft.com/office/drawing/2014/main" id="{77FDE9F7-A3E1-4B88-AEC1-C132A1715F08}"/>
            </a:ext>
          </a:extLst>
        </xdr:cNvPr>
        <xdr:cNvSpPr txBox="1">
          <a:spLocks/>
        </xdr:cNvSpPr>
      </xdr:nvSpPr>
      <xdr:spPr>
        <a:xfrm>
          <a:off x="2359603" y="270596"/>
          <a:ext cx="9524999" cy="1201449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6600">
              <a:solidFill>
                <a:schemeClr val="accent1"/>
              </a:solidFill>
              <a:latin typeface="GT Walsheim Bold" panose="00000800000000000000" pitchFamily="50" charset="0"/>
            </a:rPr>
            <a:t>Post</a:t>
          </a:r>
          <a:r>
            <a:rPr lang="en-AU" sz="6600">
              <a:solidFill>
                <a:schemeClr val="accent3">
                  <a:lumMod val="75000"/>
                </a:schemeClr>
              </a:solidFill>
              <a:latin typeface="GT Walsheim Bold" panose="00000800000000000000" pitchFamily="50" charset="0"/>
            </a:rPr>
            <a:t> Campaign Report</a:t>
          </a:r>
        </a:p>
      </xdr:txBody>
    </xdr:sp>
    <xdr:clientData/>
  </xdr:twoCellAnchor>
  <xdr:twoCellAnchor editAs="oneCell">
    <xdr:from>
      <xdr:col>1</xdr:col>
      <xdr:colOff>231631</xdr:colOff>
      <xdr:row>1</xdr:row>
      <xdr:rowOff>97413</xdr:rowOff>
    </xdr:from>
    <xdr:to>
      <xdr:col>2</xdr:col>
      <xdr:colOff>1590770</xdr:colOff>
      <xdr:row>4</xdr:row>
      <xdr:rowOff>43294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1F58E5D6-A81D-4182-BA71-74B739B21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4699" y="292243"/>
          <a:ext cx="1662207" cy="1049915"/>
        </a:xfrm>
        <a:prstGeom prst="rect">
          <a:avLst/>
        </a:prstGeom>
      </xdr:spPr>
    </xdr:pic>
    <xdr:clientData/>
  </xdr:twoCellAnchor>
  <xdr:twoCellAnchor editAs="oneCell">
    <xdr:from>
      <xdr:col>5</xdr:col>
      <xdr:colOff>1558636</xdr:colOff>
      <xdr:row>1</xdr:row>
      <xdr:rowOff>164954</xdr:rowOff>
    </xdr:from>
    <xdr:to>
      <xdr:col>6</xdr:col>
      <xdr:colOff>173180</xdr:colOff>
      <xdr:row>4</xdr:row>
      <xdr:rowOff>240721</xdr:rowOff>
    </xdr:to>
    <xdr:pic>
      <xdr:nvPicPr>
        <xdr:cNvPr id="4" name="Picture 3" descr="A picture containing logo&#10;&#10;Description automatically generated">
          <a:extLst>
            <a:ext uri="{FF2B5EF4-FFF2-40B4-BE49-F238E27FC236}">
              <a16:creationId xmlns:a16="http://schemas.microsoft.com/office/drawing/2014/main" id="{1D0215BA-A31D-45DC-A849-522ECB4FC4F4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2130" y="359784"/>
          <a:ext cx="2089005" cy="1179801"/>
        </a:xfrm>
        <a:prstGeom prst="rect">
          <a:avLst/>
        </a:prstGeom>
      </xdr:spPr>
    </xdr:pic>
    <xdr:clientData/>
  </xdr:twoCellAnchor>
  <xdr:twoCellAnchor>
    <xdr:from>
      <xdr:col>2</xdr:col>
      <xdr:colOff>119063</xdr:colOff>
      <xdr:row>43</xdr:row>
      <xdr:rowOff>121226</xdr:rowOff>
    </xdr:from>
    <xdr:to>
      <xdr:col>5</xdr:col>
      <xdr:colOff>3138924</xdr:colOff>
      <xdr:row>52</xdr:row>
      <xdr:rowOff>108239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80229A2-F483-4C4E-B290-5BDFD43D7FC1}"/>
            </a:ext>
          </a:extLst>
        </xdr:cNvPr>
        <xdr:cNvSpPr txBox="1"/>
      </xdr:nvSpPr>
      <xdr:spPr bwMode="auto">
        <a:xfrm>
          <a:off x="725199" y="12990800"/>
          <a:ext cx="12707219" cy="1643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rIns="0" rtlCol="0" anchor="t"/>
        <a:lstStyle/>
        <a:p>
          <a:pPr algn="l" rtl="0" eaLnBrk="1" latinLnBrk="0" hangingPunct="1"/>
          <a:r>
            <a:rPr lang="en-AU" sz="1800" b="0" baseline="0">
              <a:solidFill>
                <a:sysClr val="windowText" lastClr="000000"/>
              </a:solidFill>
              <a:effectLst/>
              <a:latin typeface="+mn-lt"/>
              <a:ea typeface="Tahoma" panose="020B0604030504040204" pitchFamily="34" charset="0"/>
              <a:cs typeface="Tahoma" panose="020B0604030504040204" pitchFamily="34" charset="0"/>
            </a:rPr>
            <a:t>The key objective/s from the campaign brief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129264</xdr:colOff>
      <xdr:row>1</xdr:row>
      <xdr:rowOff>123510</xdr:rowOff>
    </xdr:from>
    <xdr:to>
      <xdr:col>5</xdr:col>
      <xdr:colOff>1156606</xdr:colOff>
      <xdr:row>5</xdr:row>
      <xdr:rowOff>253300</xdr:rowOff>
    </xdr:to>
    <xdr:sp macro="" textlink="">
      <xdr:nvSpPr>
        <xdr:cNvPr id="15" name="Title 1">
          <a:extLst>
            <a:ext uri="{FF2B5EF4-FFF2-40B4-BE49-F238E27FC236}">
              <a16:creationId xmlns:a16="http://schemas.microsoft.com/office/drawing/2014/main" id="{FAC3CDD2-44D9-4149-8A97-0131D8C4750D}"/>
            </a:ext>
          </a:extLst>
        </xdr:cNvPr>
        <xdr:cNvSpPr txBox="1">
          <a:spLocks/>
        </xdr:cNvSpPr>
      </xdr:nvSpPr>
      <xdr:spPr>
        <a:xfrm>
          <a:off x="2664379" y="314010"/>
          <a:ext cx="7343150" cy="1280117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6000">
              <a:solidFill>
                <a:schemeClr val="accent1"/>
              </a:solidFill>
              <a:latin typeface="GT Walsheim Bold" panose="00000800000000000000" pitchFamily="50" charset="0"/>
            </a:rPr>
            <a:t>Television</a:t>
          </a:r>
          <a:r>
            <a:rPr lang="en-AU" sz="6000" baseline="0">
              <a:latin typeface="GT Walsheim Bold" panose="00000800000000000000" pitchFamily="50" charset="0"/>
            </a:rPr>
            <a:t> </a:t>
          </a:r>
          <a:r>
            <a:rPr lang="en-AU" sz="6000">
              <a:solidFill>
                <a:schemeClr val="accent3">
                  <a:lumMod val="75000"/>
                </a:schemeClr>
              </a:solidFill>
              <a:latin typeface="GT Walsheim Bold" panose="00000800000000000000" pitchFamily="50" charset="0"/>
            </a:rPr>
            <a:t>Update</a:t>
          </a:r>
        </a:p>
      </xdr:txBody>
    </xdr:sp>
    <xdr:clientData/>
  </xdr:twoCellAnchor>
  <xdr:twoCellAnchor>
    <xdr:from>
      <xdr:col>1</xdr:col>
      <xdr:colOff>1237385</xdr:colOff>
      <xdr:row>20</xdr:row>
      <xdr:rowOff>141576</xdr:rowOff>
    </xdr:from>
    <xdr:to>
      <xdr:col>4</xdr:col>
      <xdr:colOff>3214688</xdr:colOff>
      <xdr:row>42</xdr:row>
      <xdr:rowOff>1299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101DF8-05B2-42DE-B41C-106FD2B13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1151226</xdr:colOff>
      <xdr:row>44</xdr:row>
      <xdr:rowOff>10823</xdr:rowOff>
    </xdr:from>
    <xdr:to>
      <xdr:col>4</xdr:col>
      <xdr:colOff>3262312</xdr:colOff>
      <xdr:row>65</xdr:row>
      <xdr:rowOff>64074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2C6475-2597-4342-BFE1-3E58C2181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2376487</xdr:colOff>
      <xdr:row>21</xdr:row>
      <xdr:rowOff>53831</xdr:rowOff>
    </xdr:from>
    <xdr:to>
      <xdr:col>6</xdr:col>
      <xdr:colOff>1001515</xdr:colOff>
      <xdr:row>43</xdr:row>
      <xdr:rowOff>146195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51EFCA-ADE2-455E-BEE7-220AFF4B5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2095029</xdr:colOff>
      <xdr:row>44</xdr:row>
      <xdr:rowOff>51666</xdr:rowOff>
    </xdr:from>
    <xdr:to>
      <xdr:col>6</xdr:col>
      <xdr:colOff>1066801</xdr:colOff>
      <xdr:row>66</xdr:row>
      <xdr:rowOff>23812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052F56-9B54-4A1F-921F-E2B5108ED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1226849</xdr:colOff>
      <xdr:row>68</xdr:row>
      <xdr:rowOff>166688</xdr:rowOff>
    </xdr:from>
    <xdr:to>
      <xdr:col>5</xdr:col>
      <xdr:colOff>4143375</xdr:colOff>
      <xdr:row>80</xdr:row>
      <xdr:rowOff>138112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B213E1A-F4C8-43CB-B478-3EFA057FF986}"/>
            </a:ext>
          </a:extLst>
        </xdr:cNvPr>
        <xdr:cNvSpPr/>
      </xdr:nvSpPr>
      <xdr:spPr>
        <a:xfrm>
          <a:off x="1954213" y="15475961"/>
          <a:ext cx="14571662" cy="2049606"/>
        </a:xfrm>
        <a:prstGeom prst="rect">
          <a:avLst/>
        </a:prstGeom>
        <a:noFill/>
        <a:ln w="19050">
          <a:solidFill>
            <a:schemeClr val="bg1">
              <a:lumMod val="50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2000" i="1">
              <a:solidFill>
                <a:sysClr val="windowText" lastClr="000000"/>
              </a:solidFill>
            </a:rPr>
            <a:t>Top TV Programming for campaign to date</a:t>
          </a:r>
        </a:p>
        <a:p>
          <a:pPr algn="ctr"/>
          <a:r>
            <a:rPr lang="en-AU" sz="2000" i="1">
              <a:solidFill>
                <a:sysClr val="windowText" lastClr="000000"/>
              </a:solidFill>
            </a:rPr>
            <a:t>Logos in this space</a:t>
          </a:r>
        </a:p>
      </xdr:txBody>
    </xdr:sp>
    <xdr:clientData/>
  </xdr:twoCellAnchor>
  <xdr:twoCellAnchor editAs="oneCell">
    <xdr:from>
      <xdr:col>1</xdr:col>
      <xdr:colOff>221672</xdr:colOff>
      <xdr:row>1</xdr:row>
      <xdr:rowOff>133349</xdr:rowOff>
    </xdr:from>
    <xdr:to>
      <xdr:col>3</xdr:col>
      <xdr:colOff>29308</xdr:colOff>
      <xdr:row>5</xdr:row>
      <xdr:rowOff>220463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A61AD7EB-BAA0-B443-9654-A968D9C4B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95345" y="323849"/>
          <a:ext cx="1969078" cy="1237441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1047750</xdr:colOff>
      <xdr:row>2</xdr:row>
      <xdr:rowOff>48986</xdr:rowOff>
    </xdr:from>
    <xdr:to>
      <xdr:col>5</xdr:col>
      <xdr:colOff>3069981</xdr:colOff>
      <xdr:row>5</xdr:row>
      <xdr:rowOff>280306</xdr:rowOff>
    </xdr:to>
    <xdr:pic>
      <xdr:nvPicPr>
        <xdr:cNvPr id="12" name="Picture 11" descr="A picture containing logo&#10;&#10;Description automatically generated">
          <a:extLst>
            <a:ext uri="{FF2B5EF4-FFF2-40B4-BE49-F238E27FC236}">
              <a16:creationId xmlns:a16="http://schemas.microsoft.com/office/drawing/2014/main" id="{A5852E41-9669-0045-AF6C-771B654D3A2A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8673" y="422659"/>
          <a:ext cx="2022231" cy="1198474"/>
        </a:xfrm>
        <a:prstGeom prst="rect">
          <a:avLst/>
        </a:prstGeom>
      </xdr:spPr>
    </xdr:pic>
    <xdr:clientData/>
  </xdr:twoCellAnchor>
  <xdr:twoCellAnchor editAs="oneCell">
    <xdr:from>
      <xdr:col>2</xdr:col>
      <xdr:colOff>1600200</xdr:colOff>
      <xdr:row>2</xdr:row>
      <xdr:rowOff>276225</xdr:rowOff>
    </xdr:from>
    <xdr:to>
      <xdr:col>5</xdr:col>
      <xdr:colOff>2687411</xdr:colOff>
      <xdr:row>5</xdr:row>
      <xdr:rowOff>183697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1A29E862-C479-4976-91D2-688EEA922D2B}"/>
            </a:ext>
          </a:extLst>
        </xdr:cNvPr>
        <xdr:cNvSpPr>
          <a:spLocks noChangeAspect="1" noChangeArrowheads="1"/>
        </xdr:cNvSpPr>
      </xdr:nvSpPr>
      <xdr:spPr bwMode="auto">
        <a:xfrm>
          <a:off x="3581400" y="1314450"/>
          <a:ext cx="9220200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1600200</xdr:colOff>
      <xdr:row>2</xdr:row>
      <xdr:rowOff>276225</xdr:rowOff>
    </xdr:from>
    <xdr:to>
      <xdr:col>5</xdr:col>
      <xdr:colOff>2687411</xdr:colOff>
      <xdr:row>5</xdr:row>
      <xdr:rowOff>183697</xdr:rowOff>
    </xdr:to>
    <xdr:sp macro="" textlink="">
      <xdr:nvSpPr>
        <xdr:cNvPr id="2069" name="AutoShape 21">
          <a:extLst>
            <a:ext uri="{FF2B5EF4-FFF2-40B4-BE49-F238E27FC236}">
              <a16:creationId xmlns:a16="http://schemas.microsoft.com/office/drawing/2014/main" id="{9A0F9CE2-9107-42EA-AB5F-0994F28CD861}"/>
            </a:ext>
          </a:extLst>
        </xdr:cNvPr>
        <xdr:cNvSpPr>
          <a:spLocks noChangeAspect="1" noChangeArrowheads="1"/>
        </xdr:cNvSpPr>
      </xdr:nvSpPr>
      <xdr:spPr bwMode="auto">
        <a:xfrm>
          <a:off x="3581400" y="1314450"/>
          <a:ext cx="9220200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326880</xdr:colOff>
      <xdr:row>53</xdr:row>
      <xdr:rowOff>110404</xdr:rowOff>
    </xdr:from>
    <xdr:to>
      <xdr:col>15</xdr:col>
      <xdr:colOff>86590</xdr:colOff>
      <xdr:row>59</xdr:row>
      <xdr:rowOff>179676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B81F598-A8A7-483E-99D6-060F3B9DBCAE}"/>
            </a:ext>
          </a:extLst>
        </xdr:cNvPr>
        <xdr:cNvSpPr/>
      </xdr:nvSpPr>
      <xdr:spPr>
        <a:xfrm>
          <a:off x="18686318" y="13564467"/>
          <a:ext cx="4593647" cy="121227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/>
            <a:t>Where there is no planned reach on plan, graph will need to be reformatted</a:t>
          </a:r>
          <a:r>
            <a:rPr lang="en-AU" sz="2000" baseline="0"/>
            <a:t> to delivered only.</a:t>
          </a:r>
          <a:r>
            <a:rPr lang="en-AU" sz="2000"/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1580030</xdr:colOff>
      <xdr:row>1</xdr:row>
      <xdr:rowOff>168088</xdr:rowOff>
    </xdr:from>
    <xdr:to>
      <xdr:col>5</xdr:col>
      <xdr:colOff>1322295</xdr:colOff>
      <xdr:row>4</xdr:row>
      <xdr:rowOff>163605</xdr:rowOff>
    </xdr:to>
    <xdr:sp macro="" textlink="">
      <xdr:nvSpPr>
        <xdr:cNvPr id="2" name="Title 1">
          <a:extLst>
            <a:ext uri="{FF2B5EF4-FFF2-40B4-BE49-F238E27FC236}">
              <a16:creationId xmlns:a16="http://schemas.microsoft.com/office/drawing/2014/main" id="{1C536000-C33D-468D-9D39-AF67F55B9040}"/>
            </a:ext>
          </a:extLst>
        </xdr:cNvPr>
        <xdr:cNvSpPr txBox="1">
          <a:spLocks/>
        </xdr:cNvSpPr>
      </xdr:nvSpPr>
      <xdr:spPr>
        <a:xfrm>
          <a:off x="2252383" y="358588"/>
          <a:ext cx="8023412" cy="1004046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7200" baseline="0">
              <a:solidFill>
                <a:schemeClr val="accent1"/>
              </a:solidFill>
              <a:latin typeface="GT Walsheim Bold" panose="00000800000000000000" pitchFamily="50" charset="0"/>
            </a:rPr>
            <a:t>Cinema</a:t>
          </a:r>
          <a:r>
            <a:rPr lang="en-AU" sz="7200" baseline="0">
              <a:latin typeface="GT Walsheim Bold" panose="00000800000000000000" pitchFamily="50" charset="0"/>
            </a:rPr>
            <a:t> </a:t>
          </a:r>
          <a:r>
            <a:rPr lang="en-AU" sz="7200">
              <a:solidFill>
                <a:schemeClr val="accent3"/>
              </a:solidFill>
              <a:latin typeface="GT Walsheim Bold" panose="00000800000000000000" pitchFamily="50" charset="0"/>
            </a:rPr>
            <a:t>Update</a:t>
          </a:r>
        </a:p>
      </xdr:txBody>
    </xdr:sp>
    <xdr:clientData/>
  </xdr:twoCellAnchor>
  <xdr:oneCellAnchor>
    <xdr:from>
      <xdr:col>1</xdr:col>
      <xdr:colOff>238380</xdr:colOff>
      <xdr:row>1</xdr:row>
      <xdr:rowOff>166967</xdr:rowOff>
    </xdr:from>
    <xdr:ext cx="1604818" cy="1016855"/>
    <xdr:pic>
      <xdr:nvPicPr>
        <xdr:cNvPr id="4" name="Graphic 3">
          <a:extLst>
            <a:ext uri="{FF2B5EF4-FFF2-40B4-BE49-F238E27FC236}">
              <a16:creationId xmlns:a16="http://schemas.microsoft.com/office/drawing/2014/main" id="{5BD55A59-3EB0-4EBC-82A0-99C0052BC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4556" y="357467"/>
          <a:ext cx="1604818" cy="1016855"/>
        </a:xfrm>
        <a:prstGeom prst="rect">
          <a:avLst/>
        </a:prstGeom>
      </xdr:spPr>
    </xdr:pic>
    <xdr:clientData/>
  </xdr:oneCellAnchor>
  <xdr:oneCellAnchor>
    <xdr:from>
      <xdr:col>5</xdr:col>
      <xdr:colOff>1351805</xdr:colOff>
      <xdr:row>1</xdr:row>
      <xdr:rowOff>78441</xdr:rowOff>
    </xdr:from>
    <xdr:ext cx="2031781" cy="1181410"/>
    <xdr:pic>
      <xdr:nvPicPr>
        <xdr:cNvPr id="5" name="Picture 4" descr="A picture containing logo&#10;&#10;Description automatically generated">
          <a:extLst>
            <a:ext uri="{FF2B5EF4-FFF2-40B4-BE49-F238E27FC236}">
              <a16:creationId xmlns:a16="http://schemas.microsoft.com/office/drawing/2014/main" id="{ECD2BD8F-7E0B-4841-842A-A355CFF93531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5305" y="268941"/>
          <a:ext cx="2031781" cy="1181410"/>
        </a:xfrm>
        <a:prstGeom prst="rect">
          <a:avLst/>
        </a:prstGeom>
      </xdr:spPr>
    </xdr:pic>
    <xdr:clientData/>
  </xdr:oneCellAnchor>
  <xdr:twoCellAnchor>
    <xdr:from>
      <xdr:col>1</xdr:col>
      <xdr:colOff>457201</xdr:colOff>
      <xdr:row>50</xdr:row>
      <xdr:rowOff>19050</xdr:rowOff>
    </xdr:from>
    <xdr:to>
      <xdr:col>3</xdr:col>
      <xdr:colOff>1695450</xdr:colOff>
      <xdr:row>70</xdr:row>
      <xdr:rowOff>135226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12DF38-8B8D-4714-A99D-57E2E38A6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1143000</xdr:colOff>
      <xdr:row>50</xdr:row>
      <xdr:rowOff>0</xdr:rowOff>
    </xdr:from>
    <xdr:to>
      <xdr:col>4</xdr:col>
      <xdr:colOff>2647949</xdr:colOff>
      <xdr:row>70</xdr:row>
      <xdr:rowOff>116176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75F89E-A897-466C-938A-201C33FAC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2000250</xdr:colOff>
      <xdr:row>49</xdr:row>
      <xdr:rowOff>145677</xdr:rowOff>
    </xdr:from>
    <xdr:to>
      <xdr:col>6</xdr:col>
      <xdr:colOff>304799</xdr:colOff>
      <xdr:row>70</xdr:row>
      <xdr:rowOff>63508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2D50CC-F7A0-4D7C-8531-D330CAF9A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4</xdr:col>
      <xdr:colOff>842408</xdr:colOff>
      <xdr:row>16</xdr:row>
      <xdr:rowOff>24095</xdr:rowOff>
    </xdr:from>
    <xdr:to>
      <xdr:col>4</xdr:col>
      <xdr:colOff>3672433</xdr:colOff>
      <xdr:row>37</xdr:row>
      <xdr:rowOff>168175</xdr:rowOff>
    </xdr:to>
    <xdr:pic>
      <xdr:nvPicPr>
        <xdr:cNvPr id="27" name="Picture 26" descr="Avatar: The Way of Water (2022) - IMDb">
          <a:extLst>
            <a:ext uri="{FF2B5EF4-FFF2-40B4-BE49-F238E27FC236}">
              <a16:creationId xmlns:a16="http://schemas.microsoft.com/office/drawing/2014/main" id="{28B37BED-A4E6-8D93-78DD-DD6C22BF3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8408" y="7644095"/>
          <a:ext cx="2830025" cy="3909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71923</xdr:colOff>
      <xdr:row>16</xdr:row>
      <xdr:rowOff>27505</xdr:rowOff>
    </xdr:from>
    <xdr:to>
      <xdr:col>5</xdr:col>
      <xdr:colOff>2713728</xdr:colOff>
      <xdr:row>37</xdr:row>
      <xdr:rowOff>168086</xdr:rowOff>
    </xdr:to>
    <xdr:pic>
      <xdr:nvPicPr>
        <xdr:cNvPr id="28" name="Picture 27" descr="When Is Black Panther 2 Streaming?">
          <a:extLst>
            <a:ext uri="{FF2B5EF4-FFF2-40B4-BE49-F238E27FC236}">
              <a16:creationId xmlns:a16="http://schemas.microsoft.com/office/drawing/2014/main" id="{AC282F19-BD62-5932-D174-FA2DB3591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3099" y="7647505"/>
          <a:ext cx="2641805" cy="3905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706243</xdr:colOff>
      <xdr:row>16</xdr:row>
      <xdr:rowOff>11836</xdr:rowOff>
    </xdr:from>
    <xdr:to>
      <xdr:col>4</xdr:col>
      <xdr:colOff>664535</xdr:colOff>
      <xdr:row>37</xdr:row>
      <xdr:rowOff>139244</xdr:rowOff>
    </xdr:to>
    <xdr:pic>
      <xdr:nvPicPr>
        <xdr:cNvPr id="29" name="Picture 28" descr="Top Gun: Maverick (2022) - IMDb">
          <a:extLst>
            <a:ext uri="{FF2B5EF4-FFF2-40B4-BE49-F238E27FC236}">
              <a16:creationId xmlns:a16="http://schemas.microsoft.com/office/drawing/2014/main" id="{E598E322-A4F7-D676-95E6-543922A7F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0419" y="7631836"/>
          <a:ext cx="2670116" cy="3892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476608</xdr:colOff>
      <xdr:row>15</xdr:row>
      <xdr:rowOff>168037</xdr:rowOff>
    </xdr:from>
    <xdr:to>
      <xdr:col>3</xdr:col>
      <xdr:colOff>1472971</xdr:colOff>
      <xdr:row>37</xdr:row>
      <xdr:rowOff>119575</xdr:rowOff>
    </xdr:to>
    <xdr:pic>
      <xdr:nvPicPr>
        <xdr:cNvPr id="30" name="Picture 29" descr="Jurassic World: Dominion (2022) - IMDb">
          <a:extLst>
            <a:ext uri="{FF2B5EF4-FFF2-40B4-BE49-F238E27FC236}">
              <a16:creationId xmlns:a16="http://schemas.microsoft.com/office/drawing/2014/main" id="{DB94A899-6941-DD3A-8CF3-8F61689F1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549" y="7608743"/>
          <a:ext cx="2800510" cy="3896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1633902</xdr:colOff>
      <xdr:row>1</xdr:row>
      <xdr:rowOff>168519</xdr:rowOff>
    </xdr:from>
    <xdr:to>
      <xdr:col>5</xdr:col>
      <xdr:colOff>1502017</xdr:colOff>
      <xdr:row>5</xdr:row>
      <xdr:rowOff>2300</xdr:rowOff>
    </xdr:to>
    <xdr:sp macro="" textlink="">
      <xdr:nvSpPr>
        <xdr:cNvPr id="10" name="Title 1">
          <a:extLst>
            <a:ext uri="{FF2B5EF4-FFF2-40B4-BE49-F238E27FC236}">
              <a16:creationId xmlns:a16="http://schemas.microsoft.com/office/drawing/2014/main" id="{CCFB0F4A-0F87-427E-A706-A7B55930C6CE}"/>
            </a:ext>
          </a:extLst>
        </xdr:cNvPr>
        <xdr:cNvSpPr txBox="1">
          <a:spLocks/>
        </xdr:cNvSpPr>
      </xdr:nvSpPr>
      <xdr:spPr>
        <a:xfrm>
          <a:off x="2190748" y="359019"/>
          <a:ext cx="8198827" cy="859550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7200">
              <a:solidFill>
                <a:schemeClr val="accent1"/>
              </a:solidFill>
              <a:latin typeface="GT Walsheim Bold" panose="00000800000000000000" pitchFamily="50" charset="0"/>
            </a:rPr>
            <a:t>Press</a:t>
          </a:r>
          <a:r>
            <a:rPr lang="en-AU" sz="7200" baseline="0">
              <a:latin typeface="GT Walsheim Bold" panose="00000800000000000000" pitchFamily="50" charset="0"/>
            </a:rPr>
            <a:t> </a:t>
          </a:r>
          <a:r>
            <a:rPr lang="en-AU" sz="7200">
              <a:solidFill>
                <a:schemeClr val="accent3"/>
              </a:solidFill>
              <a:latin typeface="GT Walsheim Bold" panose="00000800000000000000" pitchFamily="50" charset="0"/>
            </a:rPr>
            <a:t>Update</a:t>
          </a:r>
        </a:p>
      </xdr:txBody>
    </xdr:sp>
    <xdr:clientData/>
  </xdr:twoCellAnchor>
  <xdr:twoCellAnchor editAs="oneCell">
    <xdr:from>
      <xdr:col>1</xdr:col>
      <xdr:colOff>254845</xdr:colOff>
      <xdr:row>1</xdr:row>
      <xdr:rowOff>95250</xdr:rowOff>
    </xdr:from>
    <xdr:to>
      <xdr:col>2</xdr:col>
      <xdr:colOff>1581240</xdr:colOff>
      <xdr:row>5</xdr:row>
      <xdr:rowOff>89667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F370B424-523C-41DE-A30D-1E8A57480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3268" y="285750"/>
          <a:ext cx="1604818" cy="1020186"/>
        </a:xfrm>
        <a:prstGeom prst="rect">
          <a:avLst/>
        </a:prstGeom>
      </xdr:spPr>
    </xdr:pic>
    <xdr:clientData/>
  </xdr:twoCellAnchor>
  <xdr:twoCellAnchor editAs="oneCell">
    <xdr:from>
      <xdr:col>5</xdr:col>
      <xdr:colOff>1560634</xdr:colOff>
      <xdr:row>1</xdr:row>
      <xdr:rowOff>183173</xdr:rowOff>
    </xdr:from>
    <xdr:to>
      <xdr:col>5</xdr:col>
      <xdr:colOff>3220785</xdr:colOff>
      <xdr:row>5</xdr:row>
      <xdr:rowOff>58616</xdr:rowOff>
    </xdr:to>
    <xdr:pic>
      <xdr:nvPicPr>
        <xdr:cNvPr id="5" name="Picture 4" descr="A picture containing logo&#10;&#10;Description automatically generated">
          <a:extLst>
            <a:ext uri="{FF2B5EF4-FFF2-40B4-BE49-F238E27FC236}">
              <a16:creationId xmlns:a16="http://schemas.microsoft.com/office/drawing/2014/main" id="{B4B770F8-E509-40FD-8417-3FE9360B208D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2942" y="373673"/>
          <a:ext cx="1660151" cy="901212"/>
        </a:xfrm>
        <a:prstGeom prst="rect">
          <a:avLst/>
        </a:prstGeom>
      </xdr:spPr>
    </xdr:pic>
    <xdr:clientData/>
  </xdr:twoCellAnchor>
  <xdr:twoCellAnchor>
    <xdr:from>
      <xdr:col>1</xdr:col>
      <xdr:colOff>457201</xdr:colOff>
      <xdr:row>33</xdr:row>
      <xdr:rowOff>19050</xdr:rowOff>
    </xdr:from>
    <xdr:to>
      <xdr:col>3</xdr:col>
      <xdr:colOff>1695450</xdr:colOff>
      <xdr:row>53</xdr:row>
      <xdr:rowOff>135226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611828-9B47-4D8D-B9CF-A3CAD7B2D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1143000</xdr:colOff>
      <xdr:row>33</xdr:row>
      <xdr:rowOff>0</xdr:rowOff>
    </xdr:from>
    <xdr:to>
      <xdr:col>4</xdr:col>
      <xdr:colOff>2647949</xdr:colOff>
      <xdr:row>53</xdr:row>
      <xdr:rowOff>116176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D2E724-D03C-4B80-8AE8-B27CDD2E4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2000250</xdr:colOff>
      <xdr:row>33</xdr:row>
      <xdr:rowOff>0</xdr:rowOff>
    </xdr:from>
    <xdr:to>
      <xdr:col>6</xdr:col>
      <xdr:colOff>304799</xdr:colOff>
      <xdr:row>53</xdr:row>
      <xdr:rowOff>97126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160059-B793-489A-B5B6-7CBDB4437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1566552</xdr:colOff>
      <xdr:row>1</xdr:row>
      <xdr:rowOff>99390</xdr:rowOff>
    </xdr:from>
    <xdr:to>
      <xdr:col>5</xdr:col>
      <xdr:colOff>1515718</xdr:colOff>
      <xdr:row>5</xdr:row>
      <xdr:rowOff>134027</xdr:rowOff>
    </xdr:to>
    <xdr:sp macro="" textlink="">
      <xdr:nvSpPr>
        <xdr:cNvPr id="11" name="Title 1">
          <a:extLst>
            <a:ext uri="{FF2B5EF4-FFF2-40B4-BE49-F238E27FC236}">
              <a16:creationId xmlns:a16="http://schemas.microsoft.com/office/drawing/2014/main" id="{C72460BE-BE9A-4B26-82EC-B51876B4B38A}"/>
            </a:ext>
          </a:extLst>
        </xdr:cNvPr>
        <xdr:cNvSpPr txBox="1">
          <a:spLocks/>
        </xdr:cNvSpPr>
      </xdr:nvSpPr>
      <xdr:spPr>
        <a:xfrm>
          <a:off x="2411378" y="289890"/>
          <a:ext cx="9954557" cy="1194202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7200">
              <a:solidFill>
                <a:schemeClr val="accent1"/>
              </a:solidFill>
              <a:latin typeface="GT Walsheim Bold" panose="00000800000000000000" pitchFamily="50" charset="0"/>
            </a:rPr>
            <a:t>Radio</a:t>
          </a:r>
          <a:r>
            <a:rPr lang="en-AU" sz="7200" baseline="0">
              <a:latin typeface="GT Walsheim Bold" panose="00000800000000000000" pitchFamily="50" charset="0"/>
            </a:rPr>
            <a:t> </a:t>
          </a:r>
          <a:r>
            <a:rPr lang="en-AU" sz="7200">
              <a:solidFill>
                <a:schemeClr val="accent3"/>
              </a:solidFill>
              <a:latin typeface="GT Walsheim Bold" panose="00000800000000000000" pitchFamily="50" charset="0"/>
            </a:rPr>
            <a:t>Update</a:t>
          </a:r>
        </a:p>
      </xdr:txBody>
    </xdr:sp>
    <xdr:clientData/>
  </xdr:twoCellAnchor>
  <xdr:twoCellAnchor editAs="oneCell">
    <xdr:from>
      <xdr:col>2</xdr:col>
      <xdr:colOff>95621</xdr:colOff>
      <xdr:row>1</xdr:row>
      <xdr:rowOff>261010</xdr:rowOff>
    </xdr:from>
    <xdr:to>
      <xdr:col>2</xdr:col>
      <xdr:colOff>1706624</xdr:colOff>
      <xdr:row>5</xdr:row>
      <xdr:rowOff>110393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E3F2A030-550F-4CB8-B398-033A1074B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39264" y="451510"/>
          <a:ext cx="1611003" cy="992383"/>
        </a:xfrm>
        <a:prstGeom prst="rect">
          <a:avLst/>
        </a:prstGeom>
      </xdr:spPr>
    </xdr:pic>
    <xdr:clientData/>
  </xdr:twoCellAnchor>
  <xdr:twoCellAnchor editAs="oneCell">
    <xdr:from>
      <xdr:col>5</xdr:col>
      <xdr:colOff>1073737</xdr:colOff>
      <xdr:row>1</xdr:row>
      <xdr:rowOff>176894</xdr:rowOff>
    </xdr:from>
    <xdr:to>
      <xdr:col>5</xdr:col>
      <xdr:colOff>2993573</xdr:colOff>
      <xdr:row>5</xdr:row>
      <xdr:rowOff>120913</xdr:rowOff>
    </xdr:to>
    <xdr:pic>
      <xdr:nvPicPr>
        <xdr:cNvPr id="10" name="Picture 9" descr="A picture containing logo&#10;&#10;Description automatically generated">
          <a:extLst>
            <a:ext uri="{FF2B5EF4-FFF2-40B4-BE49-F238E27FC236}">
              <a16:creationId xmlns:a16="http://schemas.microsoft.com/office/drawing/2014/main" id="{388F814F-C4BD-40C9-A6C6-A9A98B49158F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0844" y="367394"/>
          <a:ext cx="1919836" cy="1087019"/>
        </a:xfrm>
        <a:prstGeom prst="rect">
          <a:avLst/>
        </a:prstGeom>
      </xdr:spPr>
    </xdr:pic>
    <xdr:clientData/>
  </xdr:twoCellAnchor>
  <xdr:twoCellAnchor>
    <xdr:from>
      <xdr:col>1</xdr:col>
      <xdr:colOff>457201</xdr:colOff>
      <xdr:row>34</xdr:row>
      <xdr:rowOff>19050</xdr:rowOff>
    </xdr:from>
    <xdr:to>
      <xdr:col>3</xdr:col>
      <xdr:colOff>1695450</xdr:colOff>
      <xdr:row>54</xdr:row>
      <xdr:rowOff>135226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295A262-D00D-4992-A61B-8B41E1A2F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1143000</xdr:colOff>
      <xdr:row>34</xdr:row>
      <xdr:rowOff>0</xdr:rowOff>
    </xdr:from>
    <xdr:to>
      <xdr:col>4</xdr:col>
      <xdr:colOff>2647949</xdr:colOff>
      <xdr:row>54</xdr:row>
      <xdr:rowOff>116176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69B6818-738C-44F3-8FBE-FEA841A8B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2000250</xdr:colOff>
      <xdr:row>34</xdr:row>
      <xdr:rowOff>0</xdr:rowOff>
    </xdr:from>
    <xdr:to>
      <xdr:col>6</xdr:col>
      <xdr:colOff>304799</xdr:colOff>
      <xdr:row>54</xdr:row>
      <xdr:rowOff>97126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7933B73-9E13-4748-ADE2-6BC846CCA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138545</xdr:colOff>
      <xdr:row>2</xdr:row>
      <xdr:rowOff>0</xdr:rowOff>
    </xdr:from>
    <xdr:to>
      <xdr:col>5</xdr:col>
      <xdr:colOff>1091044</xdr:colOff>
      <xdr:row>5</xdr:row>
      <xdr:rowOff>190500</xdr:rowOff>
    </xdr:to>
    <xdr:sp macro="" textlink="">
      <xdr:nvSpPr>
        <xdr:cNvPr id="10" name="Title 1">
          <a:extLst>
            <a:ext uri="{FF2B5EF4-FFF2-40B4-BE49-F238E27FC236}">
              <a16:creationId xmlns:a16="http://schemas.microsoft.com/office/drawing/2014/main" id="{0A24AC57-A421-4EC7-9417-F4659F3C1671}"/>
            </a:ext>
          </a:extLst>
        </xdr:cNvPr>
        <xdr:cNvSpPr txBox="1">
          <a:spLocks/>
        </xdr:cNvSpPr>
      </xdr:nvSpPr>
      <xdr:spPr>
        <a:xfrm>
          <a:off x="2874818" y="363682"/>
          <a:ext cx="7516090" cy="1091045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sz="7200">
              <a:solidFill>
                <a:schemeClr val="accent1"/>
              </a:solidFill>
              <a:latin typeface="GT Walsheim Bold" panose="00000800000000000000" pitchFamily="50" charset="0"/>
            </a:rPr>
            <a:t>Outdoor</a:t>
          </a:r>
          <a:r>
            <a:rPr lang="en-AU" sz="7200" baseline="0">
              <a:latin typeface="GT Walsheim Bold" panose="00000800000000000000" pitchFamily="50" charset="0"/>
            </a:rPr>
            <a:t> </a:t>
          </a:r>
          <a:r>
            <a:rPr lang="en-AU" sz="7200">
              <a:solidFill>
                <a:schemeClr val="accent3">
                  <a:lumMod val="75000"/>
                </a:schemeClr>
              </a:solidFill>
              <a:latin typeface="GT Walsheim Bold" panose="00000800000000000000" pitchFamily="50" charset="0"/>
            </a:rPr>
            <a:t>Update</a:t>
          </a:r>
        </a:p>
      </xdr:txBody>
    </xdr:sp>
    <xdr:clientData/>
  </xdr:twoCellAnchor>
  <xdr:twoCellAnchor editAs="oneCell">
    <xdr:from>
      <xdr:col>2</xdr:col>
      <xdr:colOff>229467</xdr:colOff>
      <xdr:row>1</xdr:row>
      <xdr:rowOff>161925</xdr:rowOff>
    </xdr:from>
    <xdr:to>
      <xdr:col>2</xdr:col>
      <xdr:colOff>1832553</xdr:colOff>
      <xdr:row>5</xdr:row>
      <xdr:rowOff>97260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607FBDE9-E0B1-4E8C-B9DC-77594869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3367" y="352425"/>
          <a:ext cx="1603086" cy="1021185"/>
        </a:xfrm>
        <a:prstGeom prst="rect">
          <a:avLst/>
        </a:prstGeom>
      </xdr:spPr>
    </xdr:pic>
    <xdr:clientData/>
  </xdr:twoCellAnchor>
  <xdr:twoCellAnchor editAs="oneCell">
    <xdr:from>
      <xdr:col>5</xdr:col>
      <xdr:colOff>1237384</xdr:colOff>
      <xdr:row>2</xdr:row>
      <xdr:rowOff>43297</xdr:rowOff>
    </xdr:from>
    <xdr:to>
      <xdr:col>5</xdr:col>
      <xdr:colOff>2924175</xdr:colOff>
      <xdr:row>5</xdr:row>
      <xdr:rowOff>142876</xdr:rowOff>
    </xdr:to>
    <xdr:pic>
      <xdr:nvPicPr>
        <xdr:cNvPr id="5" name="Picture 4" descr="A picture containing logo&#10;&#10;Description automatically generated">
          <a:extLst>
            <a:ext uri="{FF2B5EF4-FFF2-40B4-BE49-F238E27FC236}">
              <a16:creationId xmlns:a16="http://schemas.microsoft.com/office/drawing/2014/main" id="{EFD8CBDB-0932-418E-97A5-F15DF1012F47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4259" y="414772"/>
          <a:ext cx="1686791" cy="1004454"/>
        </a:xfrm>
        <a:prstGeom prst="rect">
          <a:avLst/>
        </a:prstGeom>
      </xdr:spPr>
    </xdr:pic>
    <xdr:clientData/>
  </xdr:twoCellAnchor>
  <xdr:twoCellAnchor>
    <xdr:from>
      <xdr:col>1</xdr:col>
      <xdr:colOff>457201</xdr:colOff>
      <xdr:row>34</xdr:row>
      <xdr:rowOff>19050</xdr:rowOff>
    </xdr:from>
    <xdr:to>
      <xdr:col>3</xdr:col>
      <xdr:colOff>1695450</xdr:colOff>
      <xdr:row>54</xdr:row>
      <xdr:rowOff>135226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DBB083-CBD5-4AE5-B479-800CF4E87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1143000</xdr:colOff>
      <xdr:row>34</xdr:row>
      <xdr:rowOff>0</xdr:rowOff>
    </xdr:from>
    <xdr:to>
      <xdr:col>4</xdr:col>
      <xdr:colOff>2647949</xdr:colOff>
      <xdr:row>54</xdr:row>
      <xdr:rowOff>116176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33E89B-7777-465B-9C7F-C4679996C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2000250</xdr:colOff>
      <xdr:row>34</xdr:row>
      <xdr:rowOff>0</xdr:rowOff>
    </xdr:from>
    <xdr:to>
      <xdr:col>6</xdr:col>
      <xdr:colOff>304799</xdr:colOff>
      <xdr:row>54</xdr:row>
      <xdr:rowOff>97126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57AABC9-ED3C-4526-9278-94797A39C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1575956</xdr:colOff>
      <xdr:row>2</xdr:row>
      <xdr:rowOff>86590</xdr:rowOff>
    </xdr:from>
    <xdr:to>
      <xdr:col>8</xdr:col>
      <xdr:colOff>1512795</xdr:colOff>
      <xdr:row>6</xdr:row>
      <xdr:rowOff>56030</xdr:rowOff>
    </xdr:to>
    <xdr:sp macro="" textlink="">
      <xdr:nvSpPr>
        <xdr:cNvPr id="2" name="Title 1">
          <a:extLst>
            <a:ext uri="{FF2B5EF4-FFF2-40B4-BE49-F238E27FC236}">
              <a16:creationId xmlns:a16="http://schemas.microsoft.com/office/drawing/2014/main" id="{F0623A78-1FC0-4807-955A-C38F6EF5504D}"/>
            </a:ext>
          </a:extLst>
        </xdr:cNvPr>
        <xdr:cNvSpPr txBox="1">
          <a:spLocks/>
        </xdr:cNvSpPr>
      </xdr:nvSpPr>
      <xdr:spPr>
        <a:xfrm>
          <a:off x="2046603" y="456384"/>
          <a:ext cx="9540280" cy="1101234"/>
        </a:xfrm>
        <a:prstGeom prst="rect">
          <a:avLst/>
        </a:prstGeom>
      </xdr:spPr>
      <xdr:txBody>
        <a:bodyPr vert="horz" wrap="square" lIns="91440" tIns="45720" rIns="91440" bIns="45720" rtlCol="0" anchor="b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6600">
              <a:solidFill>
                <a:srgbClr val="FF0000"/>
              </a:solidFill>
              <a:latin typeface="GT Walsheim Bold" panose="00000800000000000000" pitchFamily="50" charset="0"/>
            </a:rPr>
            <a:t>Direct Digital</a:t>
          </a:r>
          <a:r>
            <a:rPr lang="en-AU" sz="6600" baseline="0">
              <a:solidFill>
                <a:srgbClr val="FF0000"/>
              </a:solidFill>
              <a:latin typeface="GT Walsheim Bold" panose="00000800000000000000" pitchFamily="50" charset="0"/>
            </a:rPr>
            <a:t> </a:t>
          </a:r>
          <a:r>
            <a:rPr lang="en-AU" sz="6600">
              <a:solidFill>
                <a:schemeClr val="accent3"/>
              </a:solidFill>
              <a:latin typeface="GT Walsheim Bold" panose="00000800000000000000" pitchFamily="50" charset="0"/>
            </a:rPr>
            <a:t>Update</a:t>
          </a:r>
        </a:p>
      </xdr:txBody>
    </xdr:sp>
    <xdr:clientData/>
  </xdr:twoCellAnchor>
  <xdr:twoCellAnchor editAs="oneCell">
    <xdr:from>
      <xdr:col>2</xdr:col>
      <xdr:colOff>83841</xdr:colOff>
      <xdr:row>2</xdr:row>
      <xdr:rowOff>168089</xdr:rowOff>
    </xdr:from>
    <xdr:to>
      <xdr:col>2</xdr:col>
      <xdr:colOff>1682547</xdr:colOff>
      <xdr:row>6</xdr:row>
      <xdr:rowOff>43982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CEFED245-B27E-4B35-B251-7ED6A1FFA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4488" y="537883"/>
          <a:ext cx="1598706" cy="1007687"/>
        </a:xfrm>
        <a:prstGeom prst="rect">
          <a:avLst/>
        </a:prstGeom>
      </xdr:spPr>
    </xdr:pic>
    <xdr:clientData/>
  </xdr:twoCellAnchor>
  <xdr:twoCellAnchor editAs="oneCell">
    <xdr:from>
      <xdr:col>8</xdr:col>
      <xdr:colOff>905606</xdr:colOff>
      <xdr:row>1</xdr:row>
      <xdr:rowOff>146219</xdr:rowOff>
    </xdr:from>
    <xdr:to>
      <xdr:col>9</xdr:col>
      <xdr:colOff>39138</xdr:colOff>
      <xdr:row>6</xdr:row>
      <xdr:rowOff>11447</xdr:rowOff>
    </xdr:to>
    <xdr:pic>
      <xdr:nvPicPr>
        <xdr:cNvPr id="5" name="Picture 4" descr="A picture containing logo&#10;&#10;Description automatically generated">
          <a:extLst>
            <a:ext uri="{FF2B5EF4-FFF2-40B4-BE49-F238E27FC236}">
              <a16:creationId xmlns:a16="http://schemas.microsoft.com/office/drawing/2014/main" id="{EF8EE380-B094-4CEC-A82D-5235E7A9A8A9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9694" y="336719"/>
          <a:ext cx="2024650" cy="1176316"/>
        </a:xfrm>
        <a:prstGeom prst="rect">
          <a:avLst/>
        </a:prstGeom>
      </xdr:spPr>
    </xdr:pic>
    <xdr:clientData/>
  </xdr:twoCellAnchor>
  <xdr:twoCellAnchor>
    <xdr:from>
      <xdr:col>2</xdr:col>
      <xdr:colOff>1790702</xdr:colOff>
      <xdr:row>32</xdr:row>
      <xdr:rowOff>122959</xdr:rowOff>
    </xdr:from>
    <xdr:to>
      <xdr:col>5</xdr:col>
      <xdr:colOff>742951</xdr:colOff>
      <xdr:row>54</xdr:row>
      <xdr:rowOff>65953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88188A-850D-48C9-8F0E-1A0A29482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3108613</xdr:colOff>
      <xdr:row>32</xdr:row>
      <xdr:rowOff>138545</xdr:rowOff>
    </xdr:from>
    <xdr:to>
      <xdr:col>9</xdr:col>
      <xdr:colOff>0</xdr:colOff>
      <xdr:row>54</xdr:row>
      <xdr:rowOff>62489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AE7549-C65C-401A-9622-B02C9069B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MD Brand Colours">
      <a:dk1>
        <a:srgbClr val="000000"/>
      </a:dk1>
      <a:lt1>
        <a:srgbClr val="FFFFFF"/>
      </a:lt1>
      <a:dk2>
        <a:srgbClr val="87017B"/>
      </a:dk2>
      <a:lt2>
        <a:srgbClr val="48A23E"/>
      </a:lt2>
      <a:accent1>
        <a:srgbClr val="EE3024"/>
      </a:accent1>
      <a:accent2>
        <a:srgbClr val="E30087"/>
      </a:accent2>
      <a:accent3>
        <a:srgbClr val="004DA7"/>
      </a:accent3>
      <a:accent4>
        <a:srgbClr val="0086D5"/>
      </a:accent4>
      <a:accent5>
        <a:srgbClr val="218847"/>
      </a:accent5>
      <a:accent6>
        <a:srgbClr val="FFCD00"/>
      </a:accent6>
      <a:hlink>
        <a:srgbClr val="FF0000"/>
      </a:hlink>
      <a:folHlink>
        <a:srgbClr val="0085D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E62B-FCD5-464D-9956-BDBDDF590526}">
  <sheetPr>
    <tabColor theme="1"/>
    <pageSetUpPr fitToPage="1"/>
  </sheetPr>
  <dimension ref="B1:P60"/>
  <sheetViews>
    <sheetView showGridLines="0" topLeftCell="A5" zoomScale="70" zoomScaleNormal="70" zoomScaleSheetLayoutView="55" workbookViewId="0">
      <selection activeCell="E34" sqref="E34"/>
    </sheetView>
  </sheetViews>
  <sheetFormatPr defaultColWidth="9.08203125" defaultRowHeight="14"/>
  <cols>
    <col min="1" max="2" width="4" style="155" customWidth="1"/>
    <col min="3" max="3" width="40.58203125" style="155" bestFit="1" customWidth="1"/>
    <col min="4" max="4" width="36.08203125" style="155" bestFit="1" customWidth="1"/>
    <col min="5" max="5" width="50.33203125" style="155" bestFit="1" customWidth="1"/>
    <col min="6" max="6" width="45.58203125" style="155" bestFit="1" customWidth="1"/>
    <col min="7" max="7" width="4" style="155" customWidth="1"/>
    <col min="8" max="8" width="3.25" style="155" customWidth="1"/>
    <col min="9" max="9" width="22.83203125" style="208" bestFit="1" customWidth="1"/>
    <col min="10" max="10" width="16.25" style="208" bestFit="1" customWidth="1"/>
    <col min="11" max="11" width="31.25" style="208" customWidth="1"/>
    <col min="12" max="16384" width="9.08203125" style="155"/>
  </cols>
  <sheetData>
    <row r="1" spans="2:16" ht="14.5" thickBot="1"/>
    <row r="2" spans="2:16" ht="15.75" customHeight="1">
      <c r="B2" s="205"/>
      <c r="C2" s="206"/>
      <c r="D2" s="206"/>
      <c r="E2" s="206"/>
      <c r="F2" s="206"/>
      <c r="G2" s="207"/>
      <c r="I2" s="424"/>
      <c r="J2" s="425"/>
      <c r="K2" s="426"/>
    </row>
    <row r="3" spans="2:16" ht="36" customHeight="1" thickBot="1">
      <c r="B3" s="212"/>
      <c r="G3" s="211"/>
      <c r="I3" s="427" t="s">
        <v>156</v>
      </c>
      <c r="J3" s="428" t="s">
        <v>157</v>
      </c>
      <c r="K3" s="429" t="s">
        <v>160</v>
      </c>
    </row>
    <row r="4" spans="2:16" ht="36" customHeight="1">
      <c r="B4" s="213"/>
      <c r="G4" s="371"/>
      <c r="I4" s="440">
        <f>SUM(D27:D29)</f>
        <v>0</v>
      </c>
      <c r="J4" s="441">
        <f>SUM(E27:E29)</f>
        <v>0</v>
      </c>
      <c r="K4" s="430"/>
    </row>
    <row r="5" spans="2:16" s="214" customFormat="1" ht="35.5" thickBot="1">
      <c r="B5" s="215"/>
      <c r="C5" s="444" t="s">
        <v>46</v>
      </c>
      <c r="D5" s="444"/>
      <c r="E5" s="444"/>
      <c r="F5" s="444"/>
      <c r="G5" s="372"/>
      <c r="I5" s="442">
        <f>SUM(D23-I4)</f>
        <v>0</v>
      </c>
      <c r="J5" s="443">
        <f>SUM(E23-J4)</f>
        <v>0</v>
      </c>
      <c r="K5" s="431"/>
    </row>
    <row r="6" spans="2:16" ht="23.5" thickBot="1">
      <c r="B6" s="212"/>
      <c r="G6" s="373"/>
      <c r="I6" s="432"/>
      <c r="J6" s="433"/>
      <c r="K6" s="430"/>
    </row>
    <row r="7" spans="2:16" ht="23.5" thickBot="1">
      <c r="B7" s="212"/>
      <c r="C7" s="375" t="s">
        <v>52</v>
      </c>
      <c r="D7" s="376" t="s">
        <v>163</v>
      </c>
      <c r="E7" s="377" t="s">
        <v>130</v>
      </c>
      <c r="F7" s="378">
        <f>D23</f>
        <v>0</v>
      </c>
      <c r="G7" s="373"/>
      <c r="I7" s="427" t="s">
        <v>159</v>
      </c>
      <c r="J7" s="428" t="s">
        <v>158</v>
      </c>
      <c r="K7" s="430"/>
    </row>
    <row r="8" spans="2:16" ht="20">
      <c r="B8" s="212"/>
      <c r="C8" s="379" t="s">
        <v>53</v>
      </c>
      <c r="D8" s="380" t="s">
        <v>164</v>
      </c>
      <c r="E8" s="381" t="s">
        <v>54</v>
      </c>
      <c r="F8" s="382">
        <f>SUM(D23-E23)</f>
        <v>0</v>
      </c>
      <c r="G8" s="211"/>
      <c r="I8" s="432" t="s">
        <v>162</v>
      </c>
      <c r="J8" s="437">
        <f>SUM('Radio Data'!F23+'OOH Data'!F26+'Direct Digi Data'!D23)</f>
        <v>0</v>
      </c>
      <c r="K8" s="429" t="s">
        <v>161</v>
      </c>
    </row>
    <row r="9" spans="2:16" ht="20">
      <c r="B9" s="212"/>
      <c r="C9" s="379" t="s">
        <v>55</v>
      </c>
      <c r="D9" s="380" t="s">
        <v>164</v>
      </c>
      <c r="E9" s="381" t="s">
        <v>56</v>
      </c>
      <c r="F9" s="382" t="s">
        <v>167</v>
      </c>
      <c r="G9" s="211"/>
      <c r="I9" s="434" t="s">
        <v>194</v>
      </c>
      <c r="J9" s="438">
        <v>0</v>
      </c>
      <c r="K9" s="435"/>
    </row>
    <row r="10" spans="2:16" ht="20.5" thickBot="1">
      <c r="B10" s="212"/>
      <c r="C10" s="379" t="s">
        <v>120</v>
      </c>
      <c r="D10" s="383" t="s">
        <v>165</v>
      </c>
      <c r="E10" s="381" t="s">
        <v>57</v>
      </c>
      <c r="F10" s="382" t="s">
        <v>167</v>
      </c>
      <c r="G10" s="211"/>
      <c r="I10" s="436"/>
      <c r="J10" s="439">
        <f>SUM(J8:J9)</f>
        <v>0</v>
      </c>
      <c r="K10" s="435"/>
      <c r="L10" s="384"/>
    </row>
    <row r="11" spans="2:16" ht="20.5" thickBot="1">
      <c r="B11" s="212"/>
      <c r="C11" s="379" t="s">
        <v>121</v>
      </c>
      <c r="D11" s="380" t="s">
        <v>164</v>
      </c>
      <c r="E11" s="381" t="s">
        <v>58</v>
      </c>
      <c r="F11" s="385" t="s">
        <v>167</v>
      </c>
      <c r="G11" s="211"/>
      <c r="I11" s="445" t="s">
        <v>195</v>
      </c>
      <c r="J11" s="446"/>
      <c r="K11" s="447"/>
      <c r="L11" s="384"/>
    </row>
    <row r="12" spans="2:16" ht="20.5" thickBot="1">
      <c r="B12" s="212"/>
      <c r="C12" s="379" t="s">
        <v>59</v>
      </c>
      <c r="D12" s="380" t="s">
        <v>166</v>
      </c>
      <c r="E12" s="381" t="s">
        <v>60</v>
      </c>
      <c r="F12" s="386" t="s">
        <v>167</v>
      </c>
      <c r="G12" s="211"/>
      <c r="I12" s="448" t="s">
        <v>193</v>
      </c>
      <c r="J12" s="449"/>
      <c r="K12" s="450"/>
      <c r="L12" s="384"/>
      <c r="M12" s="387"/>
      <c r="N12" s="387"/>
      <c r="O12" s="387"/>
      <c r="P12" s="387"/>
    </row>
    <row r="13" spans="2:16" ht="20.5" thickBot="1">
      <c r="B13" s="212"/>
      <c r="C13" s="388" t="s">
        <v>127</v>
      </c>
      <c r="D13" s="389" t="s">
        <v>131</v>
      </c>
      <c r="E13" s="390" t="s">
        <v>191</v>
      </c>
      <c r="F13" s="391" t="s">
        <v>192</v>
      </c>
      <c r="G13" s="211"/>
      <c r="I13" s="384"/>
      <c r="J13" s="387"/>
      <c r="K13" s="387"/>
      <c r="L13" s="387"/>
      <c r="M13" s="387"/>
    </row>
    <row r="14" spans="2:16" ht="21" thickBot="1">
      <c r="B14" s="212"/>
      <c r="E14" s="392"/>
      <c r="F14" s="387"/>
      <c r="G14" s="211"/>
      <c r="L14" s="384"/>
      <c r="M14" s="387"/>
      <c r="N14" s="387"/>
      <c r="O14" s="387"/>
      <c r="P14" s="387"/>
    </row>
    <row r="15" spans="2:16" s="220" customFormat="1" ht="20">
      <c r="B15" s="393"/>
      <c r="C15" s="394" t="s">
        <v>62</v>
      </c>
      <c r="D15" s="395" t="s">
        <v>73</v>
      </c>
      <c r="E15" s="395" t="s">
        <v>63</v>
      </c>
      <c r="F15" s="396" t="s">
        <v>64</v>
      </c>
      <c r="G15" s="397"/>
      <c r="I15" s="398"/>
      <c r="J15" s="398"/>
      <c r="K15" s="398"/>
      <c r="L15" s="399"/>
      <c r="M15" s="400"/>
      <c r="N15" s="400"/>
      <c r="O15" s="400"/>
      <c r="P15" s="400"/>
    </row>
    <row r="16" spans="2:16" ht="20">
      <c r="B16" s="212"/>
      <c r="C16" s="331" t="s">
        <v>65</v>
      </c>
      <c r="D16" s="230">
        <f>'TV Detail'!F7</f>
        <v>0</v>
      </c>
      <c r="E16" s="230">
        <f>'TV Detail'!F10</f>
        <v>0</v>
      </c>
      <c r="F16" s="401" t="e">
        <f>E16/$E$23</f>
        <v>#DIV/0!</v>
      </c>
      <c r="G16" s="211"/>
      <c r="L16" s="384"/>
      <c r="M16" s="387"/>
      <c r="N16" s="387"/>
      <c r="O16" s="387"/>
      <c r="P16" s="387"/>
    </row>
    <row r="17" spans="2:16" ht="20">
      <c r="B17" s="212"/>
      <c r="C17" s="331" t="s">
        <v>66</v>
      </c>
      <c r="D17" s="230">
        <f>'Cinema Detail'!F7</f>
        <v>0</v>
      </c>
      <c r="E17" s="230">
        <f>'Cinema Detail'!F7</f>
        <v>0</v>
      </c>
      <c r="F17" s="401" t="e">
        <f t="shared" ref="F17:F22" si="0">E17/$E$23</f>
        <v>#DIV/0!</v>
      </c>
      <c r="G17" s="211"/>
      <c r="L17" s="384"/>
      <c r="M17" s="387"/>
      <c r="N17" s="387"/>
      <c r="O17" s="387"/>
      <c r="P17" s="387"/>
    </row>
    <row r="18" spans="2:16" ht="20">
      <c r="B18" s="212"/>
      <c r="C18" s="331" t="s">
        <v>67</v>
      </c>
      <c r="D18" s="230">
        <f>'Press Detail'!F7</f>
        <v>0</v>
      </c>
      <c r="E18" s="230">
        <f>'Press Data'!F16</f>
        <v>0</v>
      </c>
      <c r="F18" s="401" t="e">
        <f t="shared" si="0"/>
        <v>#DIV/0!</v>
      </c>
      <c r="G18" s="211"/>
      <c r="L18" s="384"/>
      <c r="M18" s="387"/>
      <c r="N18" s="387"/>
      <c r="O18" s="387"/>
      <c r="P18" s="387"/>
    </row>
    <row r="19" spans="2:16" s="214" customFormat="1" ht="20">
      <c r="B19" s="215"/>
      <c r="C19" s="331" t="s">
        <v>68</v>
      </c>
      <c r="D19" s="230">
        <f>'Radio Detail'!F7</f>
        <v>0</v>
      </c>
      <c r="E19" s="230">
        <f>'Radio Detail'!F8</f>
        <v>0</v>
      </c>
      <c r="F19" s="401" t="e">
        <f t="shared" si="0"/>
        <v>#DIV/0!</v>
      </c>
      <c r="G19" s="216"/>
      <c r="I19" s="208"/>
      <c r="J19" s="208"/>
      <c r="K19" s="208"/>
      <c r="L19" s="402"/>
      <c r="M19" s="403"/>
      <c r="N19" s="403"/>
      <c r="O19" s="403"/>
      <c r="P19" s="403"/>
    </row>
    <row r="20" spans="2:16" s="214" customFormat="1" ht="20">
      <c r="B20" s="215"/>
      <c r="C20" s="331" t="s">
        <v>71</v>
      </c>
      <c r="D20" s="404">
        <f>'OOH Detail'!F7</f>
        <v>0</v>
      </c>
      <c r="E20" s="404">
        <f>'OOH Detail'!F8</f>
        <v>0</v>
      </c>
      <c r="F20" s="401" t="e">
        <f t="shared" si="0"/>
        <v>#DIV/0!</v>
      </c>
      <c r="G20" s="216"/>
      <c r="I20" s="208"/>
      <c r="J20" s="208"/>
      <c r="K20" s="208"/>
      <c r="L20" s="402"/>
      <c r="M20" s="403"/>
      <c r="N20" s="403"/>
      <c r="O20" s="403"/>
      <c r="P20" s="403"/>
    </row>
    <row r="21" spans="2:16" ht="20">
      <c r="B21" s="212"/>
      <c r="C21" s="331" t="s">
        <v>69</v>
      </c>
      <c r="D21" s="404">
        <f>'Direct Digi Detail'!H8</f>
        <v>0</v>
      </c>
      <c r="E21" s="404">
        <f>'Direct Digi Detail'!H9</f>
        <v>0</v>
      </c>
      <c r="F21" s="401" t="e">
        <f t="shared" si="0"/>
        <v>#DIV/0!</v>
      </c>
      <c r="G21" s="211"/>
      <c r="L21" s="384"/>
      <c r="M21" s="387"/>
      <c r="N21" s="387"/>
      <c r="O21" s="387"/>
      <c r="P21" s="387"/>
    </row>
    <row r="22" spans="2:16" ht="20">
      <c r="B22" s="212"/>
      <c r="C22" s="331" t="s">
        <v>70</v>
      </c>
      <c r="D22" s="404">
        <f>D40</f>
        <v>0</v>
      </c>
      <c r="E22" s="404"/>
      <c r="F22" s="401" t="e">
        <f t="shared" si="0"/>
        <v>#DIV/0!</v>
      </c>
      <c r="G22" s="211"/>
      <c r="L22" s="384"/>
      <c r="M22" s="387"/>
      <c r="N22" s="387"/>
      <c r="O22" s="387"/>
      <c r="P22" s="387"/>
    </row>
    <row r="23" spans="2:16" ht="20.5" thickBot="1">
      <c r="B23" s="212"/>
      <c r="C23" s="405" t="s">
        <v>72</v>
      </c>
      <c r="D23" s="406">
        <f>SUM(D16:D22)</f>
        <v>0</v>
      </c>
      <c r="E23" s="406">
        <f>SUM(E16:E22)</f>
        <v>0</v>
      </c>
      <c r="F23" s="407" t="e">
        <f>SUM(F16:F22)</f>
        <v>#DIV/0!</v>
      </c>
      <c r="G23" s="211"/>
      <c r="L23" s="384"/>
      <c r="M23" s="387"/>
      <c r="N23" s="387"/>
      <c r="O23" s="387"/>
      <c r="P23" s="387"/>
    </row>
    <row r="24" spans="2:16" ht="20.5" thickBot="1">
      <c r="B24" s="212"/>
      <c r="G24" s="211"/>
      <c r="L24" s="387"/>
      <c r="M24" s="387"/>
      <c r="N24" s="387"/>
      <c r="O24" s="387"/>
      <c r="P24" s="387"/>
    </row>
    <row r="25" spans="2:16" ht="20">
      <c r="B25" s="212"/>
      <c r="C25" s="394" t="s">
        <v>74</v>
      </c>
      <c r="D25" s="395" t="s">
        <v>73</v>
      </c>
      <c r="E25" s="395" t="s">
        <v>75</v>
      </c>
      <c r="F25" s="396" t="s">
        <v>64</v>
      </c>
      <c r="G25" s="211"/>
      <c r="L25" s="387"/>
      <c r="M25" s="387"/>
      <c r="N25" s="387"/>
      <c r="O25" s="387"/>
      <c r="P25" s="387"/>
    </row>
    <row r="26" spans="2:16" ht="20">
      <c r="B26" s="212"/>
      <c r="C26" s="331" t="s">
        <v>76</v>
      </c>
      <c r="D26" s="404">
        <f>I5</f>
        <v>0</v>
      </c>
      <c r="E26" s="404">
        <f>J5</f>
        <v>0</v>
      </c>
      <c r="F26" s="401" t="e">
        <f>E26/$E$23</f>
        <v>#DIV/0!</v>
      </c>
      <c r="G26" s="211"/>
      <c r="L26" s="387"/>
      <c r="M26" s="387"/>
      <c r="N26" s="387"/>
      <c r="O26" s="387"/>
      <c r="P26" s="387"/>
    </row>
    <row r="27" spans="2:16" ht="20">
      <c r="B27" s="212"/>
      <c r="C27" s="331" t="s">
        <v>77</v>
      </c>
      <c r="D27" s="423">
        <v>0</v>
      </c>
      <c r="E27" s="404">
        <f>J10</f>
        <v>0</v>
      </c>
      <c r="F27" s="401" t="e">
        <f>E27/$E$23</f>
        <v>#DIV/0!</v>
      </c>
      <c r="G27" s="211"/>
      <c r="L27" s="387"/>
      <c r="M27" s="387"/>
      <c r="N27" s="387"/>
      <c r="O27" s="387"/>
      <c r="P27" s="387"/>
    </row>
    <row r="28" spans="2:16" ht="20">
      <c r="B28" s="212"/>
      <c r="C28" s="331" t="s">
        <v>155</v>
      </c>
      <c r="D28" s="423">
        <v>0</v>
      </c>
      <c r="E28" s="404">
        <f>'Press Data'!G24</f>
        <v>0</v>
      </c>
      <c r="F28" s="401" t="e">
        <f>E28/$E$23</f>
        <v>#DIV/0!</v>
      </c>
      <c r="G28" s="211"/>
      <c r="I28" s="374"/>
      <c r="J28" s="408"/>
      <c r="K28" s="408"/>
      <c r="L28" s="387"/>
      <c r="M28" s="387"/>
      <c r="N28" s="387"/>
      <c r="O28" s="387"/>
      <c r="P28" s="387"/>
    </row>
    <row r="29" spans="2:16" ht="20">
      <c r="B29" s="212"/>
      <c r="C29" s="331" t="s">
        <v>78</v>
      </c>
      <c r="D29" s="404">
        <f>D40</f>
        <v>0</v>
      </c>
      <c r="E29" s="404">
        <f>E40</f>
        <v>0</v>
      </c>
      <c r="F29" s="401" t="e">
        <f>E29/$E$23</f>
        <v>#DIV/0!</v>
      </c>
      <c r="G29" s="211"/>
      <c r="I29" s="374"/>
      <c r="J29" s="408"/>
      <c r="K29" s="408"/>
      <c r="L29" s="387"/>
      <c r="M29" s="387"/>
      <c r="N29" s="387"/>
      <c r="O29" s="387"/>
      <c r="P29" s="387"/>
    </row>
    <row r="30" spans="2:16" ht="23.5" thickBot="1">
      <c r="B30" s="212"/>
      <c r="C30" s="405" t="s">
        <v>72</v>
      </c>
      <c r="D30" s="406">
        <f>SUM(D26:D29)</f>
        <v>0</v>
      </c>
      <c r="E30" s="406">
        <f>SUM(E26:E29)</f>
        <v>0</v>
      </c>
      <c r="F30" s="407" t="e">
        <f>SUM(F26:F29)</f>
        <v>#DIV/0!</v>
      </c>
      <c r="G30" s="409"/>
      <c r="I30" s="374"/>
      <c r="J30" s="408"/>
      <c r="K30" s="408"/>
      <c r="L30" s="387"/>
      <c r="M30" s="387"/>
      <c r="N30" s="387"/>
      <c r="O30" s="387"/>
      <c r="P30" s="387"/>
    </row>
    <row r="31" spans="2:16" ht="20.5" thickBot="1">
      <c r="B31" s="212"/>
      <c r="C31" s="229"/>
      <c r="D31" s="410"/>
      <c r="E31" s="410"/>
      <c r="F31" s="229"/>
      <c r="G31" s="211"/>
      <c r="I31" s="374"/>
      <c r="J31" s="408"/>
      <c r="K31" s="408"/>
      <c r="L31" s="387"/>
      <c r="M31" s="387"/>
      <c r="N31" s="387"/>
      <c r="O31" s="387"/>
      <c r="P31" s="387"/>
    </row>
    <row r="32" spans="2:16" ht="20">
      <c r="B32" s="212"/>
      <c r="C32" s="394" t="s">
        <v>78</v>
      </c>
      <c r="D32" s="395" t="s">
        <v>73</v>
      </c>
      <c r="E32" s="395" t="s">
        <v>75</v>
      </c>
      <c r="F32" s="396" t="s">
        <v>64</v>
      </c>
      <c r="G32" s="211"/>
      <c r="I32" s="374"/>
      <c r="J32" s="408"/>
      <c r="K32" s="408"/>
      <c r="L32" s="387"/>
      <c r="M32" s="387"/>
      <c r="N32" s="387"/>
      <c r="O32" s="387"/>
      <c r="P32" s="387"/>
    </row>
    <row r="33" spans="2:16" ht="40">
      <c r="B33" s="212"/>
      <c r="C33" s="411" t="s">
        <v>79</v>
      </c>
      <c r="D33" s="404">
        <v>0</v>
      </c>
      <c r="E33" s="404"/>
      <c r="F33" s="401" t="e">
        <f t="shared" ref="F33:F39" si="1">E33/$E$23</f>
        <v>#DIV/0!</v>
      </c>
      <c r="G33" s="211"/>
      <c r="I33" s="374"/>
      <c r="J33" s="408"/>
      <c r="K33" s="408"/>
      <c r="L33" s="387"/>
      <c r="M33" s="387"/>
      <c r="N33" s="387"/>
      <c r="O33" s="387"/>
      <c r="P33" s="387"/>
    </row>
    <row r="34" spans="2:16" ht="20">
      <c r="B34" s="212"/>
      <c r="C34" s="331" t="s">
        <v>66</v>
      </c>
      <c r="D34" s="404">
        <v>0</v>
      </c>
      <c r="E34" s="404"/>
      <c r="F34" s="401" t="e">
        <f t="shared" si="1"/>
        <v>#DIV/0!</v>
      </c>
      <c r="G34" s="211"/>
      <c r="I34" s="374"/>
      <c r="J34" s="408"/>
      <c r="K34" s="408"/>
      <c r="L34" s="387"/>
      <c r="M34" s="387"/>
      <c r="N34" s="387"/>
      <c r="O34" s="387"/>
      <c r="P34" s="387"/>
    </row>
    <row r="35" spans="2:16" ht="20">
      <c r="B35" s="212"/>
      <c r="C35" s="331" t="s">
        <v>67</v>
      </c>
      <c r="D35" s="423">
        <v>0</v>
      </c>
      <c r="E35" s="404">
        <f>'Press Data'!G20</f>
        <v>0</v>
      </c>
      <c r="F35" s="401" t="e">
        <f t="shared" si="1"/>
        <v>#DIV/0!</v>
      </c>
      <c r="G35" s="211"/>
      <c r="I35" s="374"/>
      <c r="J35" s="408"/>
      <c r="K35" s="408"/>
      <c r="L35" s="387"/>
      <c r="M35" s="387"/>
      <c r="N35" s="387"/>
      <c r="O35" s="387"/>
      <c r="P35" s="387"/>
    </row>
    <row r="36" spans="2:16" ht="20">
      <c r="B36" s="212"/>
      <c r="C36" s="331" t="s">
        <v>68</v>
      </c>
      <c r="D36" s="423">
        <v>0</v>
      </c>
      <c r="E36" s="404">
        <f>'Radio Data'!F19</f>
        <v>0</v>
      </c>
      <c r="F36" s="401" t="e">
        <f t="shared" si="1"/>
        <v>#DIV/0!</v>
      </c>
      <c r="G36" s="211"/>
      <c r="I36" s="374"/>
      <c r="J36" s="408"/>
      <c r="K36" s="408"/>
      <c r="L36" s="387"/>
      <c r="M36" s="387"/>
      <c r="N36" s="387"/>
      <c r="O36" s="387"/>
      <c r="P36" s="387"/>
    </row>
    <row r="37" spans="2:16" ht="20">
      <c r="B37" s="212"/>
      <c r="C37" s="331" t="s">
        <v>71</v>
      </c>
      <c r="D37" s="423">
        <v>0</v>
      </c>
      <c r="E37" s="404">
        <f>'OOH Data'!F22</f>
        <v>0</v>
      </c>
      <c r="F37" s="401" t="e">
        <f t="shared" si="1"/>
        <v>#DIV/0!</v>
      </c>
      <c r="G37" s="211"/>
      <c r="I37" s="374"/>
      <c r="J37" s="408"/>
      <c r="K37" s="408"/>
      <c r="L37" s="387"/>
      <c r="M37" s="387"/>
      <c r="N37" s="387"/>
      <c r="O37" s="387"/>
      <c r="P37" s="387"/>
    </row>
    <row r="38" spans="2:16" ht="20">
      <c r="B38" s="212"/>
      <c r="C38" s="331" t="s">
        <v>69</v>
      </c>
      <c r="D38" s="423">
        <v>0</v>
      </c>
      <c r="E38" s="404">
        <f>'Direct Digi Data'!D19</f>
        <v>0</v>
      </c>
      <c r="F38" s="401" t="e">
        <f t="shared" si="1"/>
        <v>#DIV/0!</v>
      </c>
      <c r="G38" s="211"/>
      <c r="I38" s="374"/>
      <c r="J38" s="408"/>
      <c r="K38" s="408"/>
      <c r="L38" s="387"/>
      <c r="M38" s="387"/>
      <c r="N38" s="387"/>
      <c r="O38" s="387"/>
      <c r="P38" s="387"/>
    </row>
    <row r="39" spans="2:16" ht="20">
      <c r="B39" s="212"/>
      <c r="C39" s="331" t="s">
        <v>70</v>
      </c>
      <c r="D39" s="404">
        <v>0</v>
      </c>
      <c r="E39" s="404"/>
      <c r="F39" s="401" t="e">
        <f t="shared" si="1"/>
        <v>#DIV/0!</v>
      </c>
      <c r="G39" s="211"/>
      <c r="I39" s="374"/>
      <c r="J39" s="408"/>
      <c r="K39" s="408"/>
      <c r="L39" s="387"/>
      <c r="M39" s="387"/>
      <c r="N39" s="387"/>
      <c r="O39" s="387"/>
      <c r="P39" s="387"/>
    </row>
    <row r="40" spans="2:16" ht="20.5" thickBot="1">
      <c r="B40" s="212"/>
      <c r="C40" s="405" t="s">
        <v>72</v>
      </c>
      <c r="D40" s="406">
        <f>SUM(D33:D39)</f>
        <v>0</v>
      </c>
      <c r="E40" s="406">
        <f>SUM(E33:E39)</f>
        <v>0</v>
      </c>
      <c r="F40" s="407" t="e">
        <f>SUM(F33:F39)</f>
        <v>#DIV/0!</v>
      </c>
      <c r="G40" s="211"/>
      <c r="I40" s="374"/>
      <c r="J40" s="408"/>
      <c r="K40" s="408"/>
      <c r="L40" s="387"/>
      <c r="M40" s="387"/>
      <c r="N40" s="387"/>
      <c r="O40" s="387"/>
      <c r="P40" s="387"/>
    </row>
    <row r="41" spans="2:16" ht="61.5" customHeight="1" thickBot="1">
      <c r="B41" s="212"/>
      <c r="C41" s="451" t="s">
        <v>190</v>
      </c>
      <c r="D41" s="452"/>
      <c r="E41" s="452"/>
      <c r="F41" s="453"/>
      <c r="G41" s="211"/>
      <c r="I41" s="374"/>
      <c r="J41" s="408"/>
      <c r="K41" s="408"/>
      <c r="L41" s="387"/>
      <c r="M41" s="387"/>
      <c r="N41" s="387"/>
      <c r="O41" s="387"/>
      <c r="P41" s="387"/>
    </row>
    <row r="42" spans="2:16" ht="20">
      <c r="B42" s="212"/>
      <c r="G42" s="211"/>
      <c r="I42" s="408"/>
      <c r="J42" s="408"/>
      <c r="K42" s="408"/>
      <c r="L42" s="387"/>
      <c r="M42" s="387"/>
      <c r="N42" s="387"/>
      <c r="O42" s="387"/>
      <c r="P42" s="387"/>
    </row>
    <row r="43" spans="2:16" ht="35">
      <c r="B43" s="212"/>
      <c r="C43" s="456" t="s">
        <v>128</v>
      </c>
      <c r="D43" s="456"/>
      <c r="E43" s="456"/>
      <c r="F43" s="456"/>
      <c r="G43" s="211"/>
    </row>
    <row r="44" spans="2:16">
      <c r="B44" s="212"/>
      <c r="G44" s="211"/>
    </row>
    <row r="45" spans="2:16">
      <c r="B45" s="212"/>
      <c r="G45" s="211"/>
    </row>
    <row r="46" spans="2:16">
      <c r="B46" s="212"/>
      <c r="G46" s="211"/>
    </row>
    <row r="47" spans="2:16">
      <c r="B47" s="212"/>
      <c r="G47" s="211"/>
    </row>
    <row r="48" spans="2:16">
      <c r="B48" s="212"/>
      <c r="G48" s="211"/>
    </row>
    <row r="49" spans="2:7">
      <c r="B49" s="212"/>
      <c r="G49" s="211"/>
    </row>
    <row r="50" spans="2:7">
      <c r="B50" s="212"/>
      <c r="G50" s="211"/>
    </row>
    <row r="51" spans="2:7">
      <c r="B51" s="212"/>
      <c r="G51" s="211"/>
    </row>
    <row r="52" spans="2:7">
      <c r="B52" s="212"/>
      <c r="G52" s="211"/>
    </row>
    <row r="53" spans="2:7" ht="35">
      <c r="B53" s="212"/>
      <c r="C53" s="454" t="s">
        <v>129</v>
      </c>
      <c r="D53" s="455"/>
      <c r="E53" s="455"/>
      <c r="F53" s="455"/>
      <c r="G53" s="211"/>
    </row>
    <row r="54" spans="2:7" ht="14.5" thickBot="1">
      <c r="B54" s="212"/>
      <c r="C54" s="412"/>
      <c r="D54" s="412"/>
      <c r="E54" s="412"/>
      <c r="F54" s="412"/>
      <c r="G54" s="211"/>
    </row>
    <row r="55" spans="2:7" ht="20.5" thickBot="1">
      <c r="B55" s="212"/>
      <c r="D55" s="345" t="s">
        <v>132</v>
      </c>
      <c r="E55" s="345" t="s">
        <v>133</v>
      </c>
      <c r="F55" s="345" t="s">
        <v>154</v>
      </c>
      <c r="G55" s="211"/>
    </row>
    <row r="56" spans="2:7" ht="83.25" customHeight="1" thickBot="1">
      <c r="B56" s="212"/>
      <c r="C56" s="222" t="s">
        <v>134</v>
      </c>
      <c r="D56" s="413" t="s">
        <v>164</v>
      </c>
      <c r="E56" s="414" t="s">
        <v>164</v>
      </c>
      <c r="F56" s="415" t="s">
        <v>164</v>
      </c>
      <c r="G56" s="211"/>
    </row>
    <row r="57" spans="2:7" ht="83.25" customHeight="1" thickBot="1">
      <c r="B57" s="212"/>
      <c r="C57" s="222" t="s">
        <v>135</v>
      </c>
      <c r="D57" s="413" t="s">
        <v>164</v>
      </c>
      <c r="E57" s="414" t="s">
        <v>164</v>
      </c>
      <c r="F57" s="415" t="s">
        <v>164</v>
      </c>
      <c r="G57" s="211"/>
    </row>
    <row r="58" spans="2:7" ht="83.25" customHeight="1" thickBot="1">
      <c r="B58" s="212"/>
      <c r="C58" s="222" t="s">
        <v>152</v>
      </c>
      <c r="D58" s="413" t="s">
        <v>164</v>
      </c>
      <c r="E58" s="414" t="s">
        <v>164</v>
      </c>
      <c r="F58" s="415" t="s">
        <v>164</v>
      </c>
      <c r="G58" s="211"/>
    </row>
    <row r="59" spans="2:7" ht="83.25" customHeight="1" thickBot="1">
      <c r="B59" s="212"/>
      <c r="C59" s="221" t="s">
        <v>136</v>
      </c>
      <c r="D59" s="416" t="s">
        <v>164</v>
      </c>
      <c r="E59" s="417" t="s">
        <v>164</v>
      </c>
      <c r="F59" s="418" t="s">
        <v>164</v>
      </c>
      <c r="G59" s="211"/>
    </row>
    <row r="60" spans="2:7" ht="14.5" thickBot="1">
      <c r="B60" s="233"/>
      <c r="C60" s="234"/>
      <c r="D60" s="234"/>
      <c r="E60" s="234"/>
      <c r="F60" s="234"/>
      <c r="G60" s="235"/>
    </row>
  </sheetData>
  <mergeCells count="6">
    <mergeCell ref="C5:F5"/>
    <mergeCell ref="I11:K11"/>
    <mergeCell ref="I12:K12"/>
    <mergeCell ref="C41:F41"/>
    <mergeCell ref="C53:F53"/>
    <mergeCell ref="C43:F43"/>
  </mergeCells>
  <printOptions verticalCentered="1"/>
  <pageMargins left="7.874015748031496E-2" right="7.874015748031496E-2" top="7.874015748031496E-2" bottom="7.874015748031496E-2" header="3.937007874015748E-2" footer="3.937007874015748E-2"/>
  <pageSetup paperSize="8" scale="56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ACB7-98A3-4D12-B93C-98EBD3E26907}">
  <sheetPr codeName="Sheet1">
    <tabColor theme="1"/>
    <pageSetUpPr fitToPage="1"/>
  </sheetPr>
  <dimension ref="A1:K82"/>
  <sheetViews>
    <sheetView showGridLines="0" zoomScale="85" zoomScaleNormal="85" zoomScaleSheetLayoutView="55" workbookViewId="0">
      <selection activeCell="I4" sqref="I4"/>
    </sheetView>
  </sheetViews>
  <sheetFormatPr defaultColWidth="9.08203125" defaultRowHeight="14"/>
  <cols>
    <col min="1" max="2" width="4.83203125" style="1" customWidth="1"/>
    <col min="3" max="3" width="23.5" style="1" bestFit="1" customWidth="1"/>
    <col min="4" max="4" width="34.75" style="1" bestFit="1" customWidth="1"/>
    <col min="5" max="5" width="48.08203125" style="1" customWidth="1"/>
    <col min="6" max="6" width="41.75" style="1" bestFit="1" customWidth="1"/>
    <col min="7" max="7" width="4.83203125" style="1" customWidth="1"/>
    <col min="8" max="16384" width="9.08203125" style="1"/>
  </cols>
  <sheetData>
    <row r="1" spans="1:11" ht="14.5" thickBot="1"/>
    <row r="2" spans="1:11">
      <c r="B2" s="21"/>
      <c r="C2" s="22"/>
      <c r="D2" s="22"/>
      <c r="E2" s="22"/>
      <c r="F2" s="22"/>
      <c r="G2" s="23"/>
    </row>
    <row r="3" spans="1:11" ht="25.5" customHeight="1">
      <c r="A3" s="2"/>
      <c r="B3" s="24"/>
      <c r="C3" s="4"/>
      <c r="D3" s="4"/>
      <c r="E3" s="4"/>
      <c r="F3" s="4"/>
      <c r="G3" s="25"/>
    </row>
    <row r="4" spans="1:11" ht="25.5" customHeight="1">
      <c r="B4" s="26"/>
      <c r="G4" s="27"/>
    </row>
    <row r="5" spans="1:11" ht="25.5" customHeight="1">
      <c r="B5" s="28"/>
      <c r="G5" s="29"/>
    </row>
    <row r="6" spans="1:11" ht="25.5" customHeight="1">
      <c r="B6" s="26"/>
      <c r="G6" s="30"/>
    </row>
    <row r="7" spans="1:11" ht="12" customHeight="1" thickBot="1">
      <c r="B7" s="26"/>
      <c r="G7" s="30"/>
    </row>
    <row r="8" spans="1:11" ht="20">
      <c r="B8" s="26"/>
      <c r="C8" s="93" t="s">
        <v>0</v>
      </c>
      <c r="D8" s="94" t="s">
        <v>119</v>
      </c>
      <c r="E8" s="95" t="s">
        <v>49</v>
      </c>
      <c r="F8" s="96" t="s">
        <v>61</v>
      </c>
      <c r="G8" s="30"/>
    </row>
    <row r="9" spans="1:11" ht="20">
      <c r="B9" s="26"/>
      <c r="C9" s="97" t="s">
        <v>47</v>
      </c>
      <c r="D9" s="91" t="s">
        <v>14</v>
      </c>
      <c r="E9" s="92" t="s">
        <v>137</v>
      </c>
      <c r="F9" s="98">
        <v>0</v>
      </c>
      <c r="G9" s="30"/>
    </row>
    <row r="10" spans="1:11" ht="20">
      <c r="B10" s="26"/>
      <c r="C10" s="97" t="s">
        <v>1</v>
      </c>
      <c r="D10" s="90" t="s">
        <v>14</v>
      </c>
      <c r="E10" s="92" t="s">
        <v>138</v>
      </c>
      <c r="F10" s="99">
        <f>'TV Data'!D30</f>
        <v>0</v>
      </c>
      <c r="G10" s="41"/>
    </row>
    <row r="11" spans="1:11" ht="20">
      <c r="B11" s="26"/>
      <c r="C11" s="97" t="s">
        <v>48</v>
      </c>
      <c r="D11" s="91" t="s">
        <v>14</v>
      </c>
      <c r="E11" s="89" t="s">
        <v>139</v>
      </c>
      <c r="F11" s="100">
        <f>SUM(F9-F10)</f>
        <v>0</v>
      </c>
      <c r="G11" s="30"/>
    </row>
    <row r="12" spans="1:11" ht="20.5" thickBot="1">
      <c r="B12" s="26"/>
      <c r="C12" s="101" t="s">
        <v>2</v>
      </c>
      <c r="D12" s="102" t="s">
        <v>14</v>
      </c>
      <c r="E12" s="103" t="s">
        <v>140</v>
      </c>
      <c r="F12" s="104">
        <f>SUM('TV Data'!F19:G26)</f>
        <v>0</v>
      </c>
      <c r="G12" s="31"/>
    </row>
    <row r="13" spans="1:11">
      <c r="B13" s="26"/>
      <c r="C13" s="44"/>
      <c r="D13" s="44"/>
      <c r="E13" s="47"/>
      <c r="F13" s="43"/>
      <c r="G13" s="29"/>
    </row>
    <row r="14" spans="1:11" ht="35">
      <c r="B14" s="26"/>
      <c r="C14" s="457" t="s">
        <v>141</v>
      </c>
      <c r="D14" s="458"/>
      <c r="E14" s="458"/>
      <c r="F14" s="458"/>
      <c r="G14" s="29"/>
    </row>
    <row r="15" spans="1:11" ht="14.5" thickBot="1">
      <c r="B15" s="26"/>
      <c r="G15" s="29"/>
    </row>
    <row r="16" spans="1:11" ht="20.5" thickBot="1">
      <c r="B16" s="26"/>
      <c r="D16" s="45" t="s">
        <v>132</v>
      </c>
      <c r="E16" s="45" t="s">
        <v>133</v>
      </c>
      <c r="F16" s="45" t="s">
        <v>154</v>
      </c>
      <c r="G16" s="29"/>
      <c r="K16"/>
    </row>
    <row r="17" spans="2:7" s="120" customFormat="1" ht="118.5" customHeight="1" thickBot="1">
      <c r="B17" s="121"/>
      <c r="C17" s="419" t="s">
        <v>134</v>
      </c>
      <c r="D17" s="420" t="s">
        <v>167</v>
      </c>
      <c r="E17" s="421" t="s">
        <v>167</v>
      </c>
      <c r="F17" s="422" t="s">
        <v>167</v>
      </c>
      <c r="G17" s="122"/>
    </row>
    <row r="18" spans="2:7" s="120" customFormat="1" ht="118.5" customHeight="1" thickBot="1">
      <c r="B18" s="121"/>
      <c r="C18" s="419" t="s">
        <v>135</v>
      </c>
      <c r="D18" s="420" t="s">
        <v>167</v>
      </c>
      <c r="E18" s="421" t="s">
        <v>167</v>
      </c>
      <c r="F18" s="422" t="s">
        <v>167</v>
      </c>
      <c r="G18" s="122"/>
    </row>
    <row r="19" spans="2:7">
      <c r="B19" s="26"/>
      <c r="G19" s="29"/>
    </row>
    <row r="20" spans="2:7" ht="43.5" customHeight="1">
      <c r="B20" s="26"/>
      <c r="C20" s="457" t="s">
        <v>92</v>
      </c>
      <c r="D20" s="457"/>
      <c r="E20" s="457"/>
      <c r="F20" s="457"/>
      <c r="G20" s="29"/>
    </row>
    <row r="21" spans="2:7">
      <c r="B21" s="26"/>
      <c r="G21" s="29"/>
    </row>
    <row r="22" spans="2:7">
      <c r="B22" s="26"/>
      <c r="G22" s="29"/>
    </row>
    <row r="23" spans="2:7">
      <c r="B23" s="26"/>
      <c r="G23" s="29"/>
    </row>
    <row r="24" spans="2:7">
      <c r="B24" s="26"/>
      <c r="G24" s="29"/>
    </row>
    <row r="25" spans="2:7">
      <c r="B25" s="26"/>
      <c r="G25" s="29"/>
    </row>
    <row r="26" spans="2:7">
      <c r="B26" s="26"/>
      <c r="G26" s="29"/>
    </row>
    <row r="27" spans="2:7">
      <c r="B27" s="26"/>
      <c r="G27" s="29"/>
    </row>
    <row r="28" spans="2:7">
      <c r="B28" s="26"/>
      <c r="G28" s="29"/>
    </row>
    <row r="29" spans="2:7">
      <c r="B29" s="26"/>
      <c r="G29" s="29"/>
    </row>
    <row r="30" spans="2:7">
      <c r="B30" s="26"/>
      <c r="G30" s="29"/>
    </row>
    <row r="31" spans="2:7">
      <c r="B31" s="26"/>
      <c r="G31" s="29"/>
    </row>
    <row r="32" spans="2:7">
      <c r="B32" s="26"/>
      <c r="G32" s="29"/>
    </row>
    <row r="33" spans="2:7">
      <c r="B33" s="26"/>
      <c r="G33" s="29"/>
    </row>
    <row r="34" spans="2:7">
      <c r="B34" s="26"/>
      <c r="G34" s="29"/>
    </row>
    <row r="35" spans="2:7">
      <c r="B35" s="26"/>
      <c r="G35" s="29"/>
    </row>
    <row r="36" spans="2:7">
      <c r="B36" s="26"/>
      <c r="G36" s="29"/>
    </row>
    <row r="37" spans="2:7">
      <c r="B37" s="26"/>
      <c r="G37" s="29"/>
    </row>
    <row r="38" spans="2:7">
      <c r="B38" s="26"/>
      <c r="G38" s="29"/>
    </row>
    <row r="39" spans="2:7">
      <c r="B39" s="26"/>
      <c r="G39" s="29"/>
    </row>
    <row r="40" spans="2:7">
      <c r="B40" s="26"/>
      <c r="G40" s="29"/>
    </row>
    <row r="41" spans="2:7">
      <c r="B41" s="26"/>
      <c r="G41" s="29"/>
    </row>
    <row r="42" spans="2:7">
      <c r="B42" s="26"/>
      <c r="G42" s="29"/>
    </row>
    <row r="43" spans="2:7">
      <c r="B43" s="26"/>
      <c r="G43" s="29"/>
    </row>
    <row r="44" spans="2:7">
      <c r="B44" s="26"/>
      <c r="C44" s="460" t="s">
        <v>12</v>
      </c>
      <c r="D44" s="460"/>
      <c r="E44" s="460"/>
      <c r="F44" s="460"/>
      <c r="G44" s="29"/>
    </row>
    <row r="45" spans="2:7">
      <c r="B45" s="26"/>
      <c r="G45" s="29"/>
    </row>
    <row r="46" spans="2:7">
      <c r="B46" s="26"/>
      <c r="G46" s="29"/>
    </row>
    <row r="47" spans="2:7">
      <c r="B47" s="26"/>
      <c r="G47" s="29"/>
    </row>
    <row r="48" spans="2:7">
      <c r="B48" s="26"/>
      <c r="G48" s="29"/>
    </row>
    <row r="49" spans="2:7">
      <c r="B49" s="26"/>
      <c r="G49" s="29"/>
    </row>
    <row r="50" spans="2:7">
      <c r="B50" s="26"/>
      <c r="G50" s="29"/>
    </row>
    <row r="51" spans="2:7">
      <c r="B51" s="26"/>
      <c r="G51" s="29"/>
    </row>
    <row r="52" spans="2:7">
      <c r="B52" s="26"/>
      <c r="G52" s="29"/>
    </row>
    <row r="53" spans="2:7">
      <c r="B53" s="26"/>
      <c r="G53" s="29"/>
    </row>
    <row r="54" spans="2:7">
      <c r="B54" s="26"/>
      <c r="G54" s="29"/>
    </row>
    <row r="55" spans="2:7">
      <c r="B55" s="26"/>
      <c r="G55" s="29"/>
    </row>
    <row r="56" spans="2:7">
      <c r="B56" s="26"/>
      <c r="G56" s="29"/>
    </row>
    <row r="57" spans="2:7">
      <c r="B57" s="26"/>
      <c r="G57" s="29"/>
    </row>
    <row r="58" spans="2:7">
      <c r="B58" s="26"/>
      <c r="G58" s="29"/>
    </row>
    <row r="59" spans="2:7">
      <c r="B59" s="26"/>
      <c r="G59" s="29"/>
    </row>
    <row r="60" spans="2:7">
      <c r="B60" s="26"/>
      <c r="G60" s="29"/>
    </row>
    <row r="61" spans="2:7">
      <c r="B61" s="26"/>
      <c r="G61" s="29"/>
    </row>
    <row r="62" spans="2:7">
      <c r="B62" s="26"/>
      <c r="G62" s="29"/>
    </row>
    <row r="63" spans="2:7">
      <c r="B63" s="26"/>
      <c r="G63" s="29"/>
    </row>
    <row r="64" spans="2:7">
      <c r="B64" s="26"/>
      <c r="G64" s="29"/>
    </row>
    <row r="65" spans="2:7">
      <c r="B65" s="26"/>
      <c r="G65" s="29"/>
    </row>
    <row r="66" spans="2:7">
      <c r="B66" s="26"/>
      <c r="G66" s="29"/>
    </row>
    <row r="67" spans="2:7">
      <c r="B67" s="26"/>
      <c r="C67" s="459" t="s">
        <v>13</v>
      </c>
      <c r="D67" s="459"/>
      <c r="E67" s="459"/>
      <c r="F67" s="459"/>
      <c r="G67" s="29"/>
    </row>
    <row r="68" spans="2:7">
      <c r="B68" s="26"/>
      <c r="G68" s="29"/>
    </row>
    <row r="69" spans="2:7">
      <c r="B69" s="26"/>
      <c r="G69" s="29"/>
    </row>
    <row r="70" spans="2:7">
      <c r="B70" s="26"/>
      <c r="G70" s="29"/>
    </row>
    <row r="71" spans="2:7">
      <c r="B71" s="26"/>
      <c r="G71" s="29"/>
    </row>
    <row r="72" spans="2:7">
      <c r="B72" s="26"/>
      <c r="G72" s="29"/>
    </row>
    <row r="73" spans="2:7">
      <c r="B73" s="26"/>
      <c r="G73" s="29"/>
    </row>
    <row r="74" spans="2:7">
      <c r="B74" s="26"/>
      <c r="G74" s="29"/>
    </row>
    <row r="75" spans="2:7">
      <c r="B75" s="26"/>
      <c r="G75" s="29"/>
    </row>
    <row r="76" spans="2:7">
      <c r="B76" s="26"/>
      <c r="G76" s="29"/>
    </row>
    <row r="77" spans="2:7">
      <c r="B77" s="26"/>
      <c r="G77" s="29"/>
    </row>
    <row r="78" spans="2:7">
      <c r="B78" s="26"/>
      <c r="G78" s="29"/>
    </row>
    <row r="79" spans="2:7">
      <c r="B79" s="26"/>
      <c r="G79" s="29"/>
    </row>
    <row r="80" spans="2:7">
      <c r="B80" s="26"/>
      <c r="G80" s="29"/>
    </row>
    <row r="81" spans="2:7">
      <c r="B81" s="26"/>
      <c r="G81" s="29"/>
    </row>
    <row r="82" spans="2:7" ht="14.5" thickBot="1">
      <c r="B82" s="32"/>
      <c r="C82" s="33"/>
      <c r="D82" s="33"/>
      <c r="E82" s="33"/>
      <c r="F82" s="33"/>
      <c r="G82" s="34"/>
    </row>
  </sheetData>
  <mergeCells count="4">
    <mergeCell ref="C14:F14"/>
    <mergeCell ref="C20:F20"/>
    <mergeCell ref="C67:F67"/>
    <mergeCell ref="C44:F44"/>
  </mergeCells>
  <printOptions verticalCentered="1"/>
  <pageMargins left="7.874015748031496E-2" right="7.874015748031496E-2" top="7.874015748031496E-2" bottom="7.874015748031496E-2" header="3.937007874015748E-2" footer="3.937007874015748E-2"/>
  <pageSetup paperSize="8" scale="54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E0DE-0BAF-49FD-8E93-EACDBDC86B67}">
  <sheetPr codeName="Sheet2"/>
  <dimension ref="B2:M39"/>
  <sheetViews>
    <sheetView showGridLines="0" zoomScale="145" zoomScaleNormal="145" workbookViewId="0">
      <selection activeCell="B5" sqref="B5"/>
    </sheetView>
  </sheetViews>
  <sheetFormatPr defaultColWidth="8.83203125" defaultRowHeight="15.5"/>
  <cols>
    <col min="1" max="1" width="2.33203125" style="51" customWidth="1"/>
    <col min="2" max="2" width="27.33203125" style="51" bestFit="1" customWidth="1"/>
    <col min="3" max="3" width="12.08203125" style="51" bestFit="1" customWidth="1"/>
    <col min="4" max="4" width="8.25" style="51" bestFit="1" customWidth="1"/>
    <col min="5" max="5" width="10.08203125" style="51" bestFit="1" customWidth="1"/>
    <col min="6" max="6" width="9" style="51" bestFit="1" customWidth="1"/>
    <col min="7" max="7" width="10.08203125" style="51" bestFit="1" customWidth="1"/>
    <col min="8" max="8" width="4.08203125" style="51" customWidth="1"/>
    <col min="9" max="9" width="8.83203125" style="51"/>
    <col min="10" max="10" width="21.58203125" style="51" customWidth="1"/>
    <col min="11" max="11" width="19" style="51" customWidth="1"/>
    <col min="12" max="16384" width="8.83203125" style="51"/>
  </cols>
  <sheetData>
    <row r="2" spans="2:10">
      <c r="B2" s="462" t="s">
        <v>15</v>
      </c>
      <c r="C2" s="462"/>
      <c r="D2" s="462"/>
      <c r="E2" s="462"/>
      <c r="F2" s="462"/>
      <c r="G2" s="462"/>
    </row>
    <row r="3" spans="2:10">
      <c r="B3" s="461" t="s">
        <v>11</v>
      </c>
      <c r="C3" s="461"/>
      <c r="D3" s="461"/>
      <c r="E3" s="461"/>
      <c r="F3" s="461"/>
      <c r="G3" s="461"/>
    </row>
    <row r="4" spans="2:10" ht="16" thickBot="1">
      <c r="B4" s="52"/>
    </row>
    <row r="5" spans="2:10" ht="16" thickBot="1">
      <c r="B5" s="53"/>
      <c r="C5" s="53"/>
      <c r="D5" s="463" t="s">
        <v>29</v>
      </c>
      <c r="E5" s="464"/>
      <c r="F5" s="465" t="s">
        <v>28</v>
      </c>
      <c r="G5" s="466"/>
    </row>
    <row r="6" spans="2:10" ht="16" thickBot="1">
      <c r="B6" s="54" t="s">
        <v>168</v>
      </c>
      <c r="C6" s="49" t="s">
        <v>44</v>
      </c>
      <c r="D6" s="76" t="s">
        <v>10</v>
      </c>
      <c r="E6" s="50" t="s">
        <v>50</v>
      </c>
      <c r="F6" s="76" t="s">
        <v>51</v>
      </c>
      <c r="G6" s="48" t="s">
        <v>50</v>
      </c>
      <c r="I6" s="55"/>
      <c r="J6" s="56"/>
    </row>
    <row r="7" spans="2:10">
      <c r="B7" s="57" t="s">
        <v>3</v>
      </c>
      <c r="C7" s="68" t="s">
        <v>16</v>
      </c>
      <c r="D7" s="81">
        <v>0</v>
      </c>
      <c r="E7" s="82">
        <v>0</v>
      </c>
      <c r="F7" s="77">
        <v>0</v>
      </c>
      <c r="G7" s="58">
        <v>0</v>
      </c>
      <c r="I7" s="55"/>
      <c r="J7" s="56"/>
    </row>
    <row r="8" spans="2:10">
      <c r="B8" s="59" t="s">
        <v>4</v>
      </c>
      <c r="C8" s="69" t="s">
        <v>17</v>
      </c>
      <c r="D8" s="83">
        <v>0</v>
      </c>
      <c r="E8" s="84">
        <v>0</v>
      </c>
      <c r="F8" s="78">
        <v>0</v>
      </c>
      <c r="G8" s="60">
        <v>0</v>
      </c>
      <c r="I8" s="55"/>
      <c r="J8" s="56"/>
    </row>
    <row r="9" spans="2:10">
      <c r="B9" s="59" t="s">
        <v>5</v>
      </c>
      <c r="C9" s="69" t="s">
        <v>18</v>
      </c>
      <c r="D9" s="83">
        <v>0</v>
      </c>
      <c r="E9" s="84">
        <v>0</v>
      </c>
      <c r="F9" s="78">
        <v>0</v>
      </c>
      <c r="G9" s="60">
        <v>0</v>
      </c>
      <c r="I9" s="55"/>
      <c r="J9" s="56"/>
    </row>
    <row r="10" spans="2:10">
      <c r="B10" s="61" t="s">
        <v>6</v>
      </c>
      <c r="C10" s="70" t="s">
        <v>19</v>
      </c>
      <c r="D10" s="85">
        <v>0</v>
      </c>
      <c r="E10" s="86">
        <v>0</v>
      </c>
      <c r="F10" s="79">
        <v>0</v>
      </c>
      <c r="G10" s="62">
        <v>0</v>
      </c>
      <c r="I10" s="55"/>
      <c r="J10" s="56"/>
    </row>
    <row r="11" spans="2:10">
      <c r="B11" s="59" t="s">
        <v>7</v>
      </c>
      <c r="C11" s="69" t="s">
        <v>7</v>
      </c>
      <c r="D11" s="83">
        <v>0</v>
      </c>
      <c r="E11" s="84">
        <v>0</v>
      </c>
      <c r="F11" s="78">
        <v>0</v>
      </c>
      <c r="G11" s="60">
        <v>0</v>
      </c>
      <c r="J11" s="56"/>
    </row>
    <row r="12" spans="2:10">
      <c r="B12" s="63" t="s">
        <v>20</v>
      </c>
      <c r="C12" s="69" t="s">
        <v>21</v>
      </c>
      <c r="D12" s="83">
        <v>0</v>
      </c>
      <c r="E12" s="84">
        <v>0</v>
      </c>
      <c r="F12" s="78">
        <v>0</v>
      </c>
      <c r="G12" s="60">
        <v>0</v>
      </c>
      <c r="J12" s="56"/>
    </row>
    <row r="13" spans="2:10">
      <c r="B13" s="64" t="s">
        <v>22</v>
      </c>
      <c r="C13" s="70" t="s">
        <v>23</v>
      </c>
      <c r="D13" s="85">
        <v>0</v>
      </c>
      <c r="E13" s="86">
        <v>0</v>
      </c>
      <c r="F13" s="79">
        <v>0</v>
      </c>
      <c r="G13" s="62">
        <v>0</v>
      </c>
      <c r="J13" s="56"/>
    </row>
    <row r="14" spans="2:10">
      <c r="B14" s="63" t="s">
        <v>24</v>
      </c>
      <c r="C14" s="69" t="s">
        <v>8</v>
      </c>
      <c r="D14" s="83">
        <v>0</v>
      </c>
      <c r="E14" s="84">
        <v>0</v>
      </c>
      <c r="F14" s="78">
        <v>0</v>
      </c>
      <c r="G14" s="60">
        <v>0</v>
      </c>
      <c r="I14" s="55"/>
      <c r="J14" s="56"/>
    </row>
    <row r="15" spans="2:10">
      <c r="B15" s="64" t="s">
        <v>25</v>
      </c>
      <c r="C15" s="70" t="s">
        <v>9</v>
      </c>
      <c r="D15" s="85">
        <v>0</v>
      </c>
      <c r="E15" s="86">
        <v>0</v>
      </c>
      <c r="F15" s="79">
        <v>0</v>
      </c>
      <c r="G15" s="62">
        <v>0</v>
      </c>
      <c r="I15" s="55"/>
      <c r="J15" s="56"/>
    </row>
    <row r="16" spans="2:10" ht="16" thickBot="1">
      <c r="B16" s="65" t="s">
        <v>26</v>
      </c>
      <c r="C16" s="71" t="s">
        <v>27</v>
      </c>
      <c r="D16" s="87">
        <v>0</v>
      </c>
      <c r="E16" s="88">
        <v>0</v>
      </c>
      <c r="F16" s="80">
        <v>0</v>
      </c>
      <c r="G16" s="66">
        <v>0</v>
      </c>
      <c r="I16" s="55"/>
      <c r="J16" s="56"/>
    </row>
    <row r="17" spans="2:13" ht="16" thickBot="1">
      <c r="H17" s="53"/>
      <c r="I17" s="55"/>
      <c r="J17" s="56"/>
    </row>
    <row r="18" spans="2:13" ht="16" thickBot="1">
      <c r="B18" s="54" t="s">
        <v>30</v>
      </c>
      <c r="C18" s="49" t="s">
        <v>44</v>
      </c>
      <c r="D18" s="471" t="s">
        <v>93</v>
      </c>
      <c r="E18" s="472"/>
      <c r="F18" s="471" t="s">
        <v>94</v>
      </c>
      <c r="G18" s="473"/>
      <c r="H18" s="67"/>
      <c r="I18" s="55"/>
      <c r="J18" s="56"/>
    </row>
    <row r="19" spans="2:13">
      <c r="B19" s="57" t="s">
        <v>45</v>
      </c>
      <c r="C19" s="68" t="s">
        <v>34</v>
      </c>
      <c r="D19" s="467">
        <v>0</v>
      </c>
      <c r="E19" s="468"/>
      <c r="F19" s="467">
        <v>0</v>
      </c>
      <c r="G19" s="474"/>
      <c r="H19" s="67"/>
      <c r="I19" s="55"/>
      <c r="J19" s="56"/>
    </row>
    <row r="20" spans="2:13">
      <c r="B20" s="59" t="s">
        <v>43</v>
      </c>
      <c r="C20" s="69" t="s">
        <v>35</v>
      </c>
      <c r="D20" s="469">
        <v>0</v>
      </c>
      <c r="E20" s="470"/>
      <c r="F20" s="469">
        <v>0</v>
      </c>
      <c r="G20" s="475"/>
      <c r="H20" s="67"/>
      <c r="I20" s="55"/>
      <c r="J20" s="56"/>
    </row>
    <row r="21" spans="2:13">
      <c r="B21" s="59" t="s">
        <v>42</v>
      </c>
      <c r="C21" s="69" t="s">
        <v>36</v>
      </c>
      <c r="D21" s="469">
        <v>0</v>
      </c>
      <c r="E21" s="470"/>
      <c r="F21" s="469">
        <v>0</v>
      </c>
      <c r="G21" s="475"/>
      <c r="H21" s="67"/>
      <c r="I21" s="55"/>
      <c r="J21" s="56"/>
    </row>
    <row r="22" spans="2:13">
      <c r="B22" s="61" t="s">
        <v>37</v>
      </c>
      <c r="C22" s="70" t="s">
        <v>33</v>
      </c>
      <c r="D22" s="469">
        <v>0</v>
      </c>
      <c r="E22" s="470"/>
      <c r="F22" s="469">
        <v>0</v>
      </c>
      <c r="G22" s="475"/>
      <c r="I22" s="55"/>
      <c r="J22" s="56"/>
    </row>
    <row r="23" spans="2:13">
      <c r="B23" s="59" t="s">
        <v>40</v>
      </c>
      <c r="C23" s="69" t="s">
        <v>31</v>
      </c>
      <c r="D23" s="469">
        <v>0</v>
      </c>
      <c r="E23" s="470"/>
      <c r="F23" s="469">
        <v>0</v>
      </c>
      <c r="G23" s="475"/>
      <c r="I23" s="55"/>
      <c r="J23" s="56"/>
    </row>
    <row r="24" spans="2:13">
      <c r="B24" s="63" t="s">
        <v>41</v>
      </c>
      <c r="C24" s="69" t="s">
        <v>32</v>
      </c>
      <c r="D24" s="469">
        <v>0</v>
      </c>
      <c r="E24" s="470"/>
      <c r="F24" s="469">
        <v>0</v>
      </c>
      <c r="G24" s="475"/>
      <c r="I24" s="55"/>
      <c r="J24" s="56"/>
    </row>
    <row r="25" spans="2:13">
      <c r="B25" s="64" t="s">
        <v>39</v>
      </c>
      <c r="C25" s="70" t="s">
        <v>39</v>
      </c>
      <c r="D25" s="469">
        <v>0</v>
      </c>
      <c r="E25" s="470"/>
      <c r="F25" s="469">
        <v>0</v>
      </c>
      <c r="G25" s="475"/>
      <c r="I25" s="55"/>
      <c r="J25" s="56"/>
    </row>
    <row r="26" spans="2:13" ht="16" thickBot="1">
      <c r="B26" s="65" t="s">
        <v>38</v>
      </c>
      <c r="C26" s="71" t="s">
        <v>33</v>
      </c>
      <c r="D26" s="484">
        <v>0</v>
      </c>
      <c r="E26" s="486"/>
      <c r="F26" s="484">
        <v>0</v>
      </c>
      <c r="G26" s="485"/>
      <c r="I26" s="55"/>
      <c r="J26" s="56"/>
    </row>
    <row r="27" spans="2:13">
      <c r="G27" s="72"/>
      <c r="J27" s="72"/>
      <c r="K27" s="73"/>
      <c r="M27" s="72"/>
    </row>
    <row r="28" spans="2:13" ht="16" thickBot="1">
      <c r="G28" s="72"/>
      <c r="J28" s="72"/>
      <c r="K28" s="73"/>
      <c r="M28" s="72"/>
    </row>
    <row r="29" spans="2:13" ht="16" thickBot="1">
      <c r="C29" s="75" t="s">
        <v>169</v>
      </c>
      <c r="D29" s="476">
        <f>SUM(D19:E26)</f>
        <v>0</v>
      </c>
      <c r="E29" s="477"/>
      <c r="F29" s="480">
        <f>SUM(F19:G26)</f>
        <v>0</v>
      </c>
      <c r="G29" s="481"/>
      <c r="J29" s="72"/>
      <c r="K29" s="73"/>
      <c r="M29" s="72"/>
    </row>
    <row r="30" spans="2:13" ht="16" thickBot="1">
      <c r="C30" s="75" t="s">
        <v>170</v>
      </c>
      <c r="D30" s="478">
        <f>SUM(D29*0.9)</f>
        <v>0</v>
      </c>
      <c r="E30" s="479"/>
      <c r="F30" s="482">
        <f>SUM(F29*0.9)</f>
        <v>0</v>
      </c>
      <c r="G30" s="483"/>
      <c r="J30" s="72"/>
      <c r="K30" s="73"/>
      <c r="M30" s="72"/>
    </row>
    <row r="33" spans="3:10">
      <c r="C33" s="74"/>
    </row>
    <row r="35" spans="3:10">
      <c r="G35" s="72"/>
      <c r="J35" s="72"/>
    </row>
    <row r="36" spans="3:10">
      <c r="G36" s="72"/>
      <c r="J36" s="72"/>
    </row>
    <row r="37" spans="3:10">
      <c r="G37" s="72"/>
      <c r="J37" s="72"/>
    </row>
    <row r="38" spans="3:10">
      <c r="G38" s="72"/>
      <c r="J38" s="72"/>
    </row>
    <row r="39" spans="3:10">
      <c r="F39" s="72"/>
      <c r="G39" s="72"/>
      <c r="J39" s="72"/>
    </row>
  </sheetData>
  <mergeCells count="26">
    <mergeCell ref="D29:E29"/>
    <mergeCell ref="D30:E30"/>
    <mergeCell ref="F29:G29"/>
    <mergeCell ref="F30:G30"/>
    <mergeCell ref="F22:G22"/>
    <mergeCell ref="F23:G23"/>
    <mergeCell ref="F24:G24"/>
    <mergeCell ref="F25:G25"/>
    <mergeCell ref="F26:G26"/>
    <mergeCell ref="D22:E22"/>
    <mergeCell ref="D23:E23"/>
    <mergeCell ref="D24:E24"/>
    <mergeCell ref="D25:E25"/>
    <mergeCell ref="D26:E26"/>
    <mergeCell ref="D20:E20"/>
    <mergeCell ref="D21:E21"/>
    <mergeCell ref="D18:E18"/>
    <mergeCell ref="F18:G18"/>
    <mergeCell ref="F19:G19"/>
    <mergeCell ref="F20:G20"/>
    <mergeCell ref="F21:G21"/>
    <mergeCell ref="B3:G3"/>
    <mergeCell ref="B2:G2"/>
    <mergeCell ref="D5:E5"/>
    <mergeCell ref="F5:G5"/>
    <mergeCell ref="D19: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6789-9A53-48EA-BBCA-EB14743419D6}">
  <sheetPr>
    <tabColor theme="1"/>
    <pageSetUpPr fitToPage="1"/>
  </sheetPr>
  <dimension ref="B1:K73"/>
  <sheetViews>
    <sheetView showGridLines="0" zoomScale="85" zoomScaleNormal="85" zoomScaleSheetLayoutView="55" workbookViewId="0">
      <selection activeCell="C10" sqref="C10"/>
    </sheetView>
  </sheetViews>
  <sheetFormatPr defaultColWidth="9.08203125" defaultRowHeight="14"/>
  <cols>
    <col min="1" max="2" width="4.33203125" style="1" customWidth="1"/>
    <col min="3" max="3" width="23.58203125" style="1" bestFit="1" customWidth="1"/>
    <col min="4" max="4" width="35.58203125" style="1" bestFit="1" customWidth="1"/>
    <col min="5" max="5" width="49.33203125" style="1" bestFit="1" customWidth="1"/>
    <col min="6" max="6" width="42.58203125" style="1" bestFit="1" customWidth="1"/>
    <col min="7" max="7" width="4.33203125" style="1" customWidth="1"/>
    <col min="8" max="16384" width="9.08203125" style="1"/>
  </cols>
  <sheetData>
    <row r="1" spans="2:11" ht="14.5" thickBot="1"/>
    <row r="2" spans="2:11" ht="26.25" customHeight="1">
      <c r="B2" s="5"/>
      <c r="C2" s="6"/>
      <c r="D2" s="6"/>
      <c r="E2" s="6"/>
      <c r="F2" s="6"/>
      <c r="G2" s="7"/>
    </row>
    <row r="3" spans="2:11" ht="26.25" customHeight="1">
      <c r="B3" s="10"/>
      <c r="G3" s="11"/>
    </row>
    <row r="4" spans="2:11" s="3" customFormat="1" ht="26.25" customHeight="1">
      <c r="B4" s="12"/>
      <c r="G4" s="13"/>
    </row>
    <row r="5" spans="2:11" ht="26.25" customHeight="1" thickBot="1">
      <c r="B5" s="8"/>
      <c r="G5" s="14"/>
    </row>
    <row r="6" spans="2:11" ht="20">
      <c r="B6" s="8"/>
      <c r="C6" s="93" t="s">
        <v>80</v>
      </c>
      <c r="D6" s="96" t="s">
        <v>171</v>
      </c>
      <c r="E6" s="108" t="s">
        <v>137</v>
      </c>
      <c r="F6" s="114">
        <v>0</v>
      </c>
      <c r="G6" s="9"/>
    </row>
    <row r="7" spans="2:11" ht="20">
      <c r="B7" s="8"/>
      <c r="C7" s="97" t="s">
        <v>97</v>
      </c>
      <c r="D7" s="105" t="s">
        <v>14</v>
      </c>
      <c r="E7" s="110" t="s">
        <v>138</v>
      </c>
      <c r="F7" s="115">
        <f>'Cinema Data'!F15</f>
        <v>0</v>
      </c>
      <c r="G7" s="9"/>
    </row>
    <row r="8" spans="2:11" ht="20.5" thickBot="1">
      <c r="B8" s="8"/>
      <c r="C8" s="106" t="s">
        <v>98</v>
      </c>
      <c r="D8" s="107" t="s">
        <v>14</v>
      </c>
      <c r="E8" s="97" t="s">
        <v>139</v>
      </c>
      <c r="F8" s="112">
        <f>SUM(F6-F7)</f>
        <v>0</v>
      </c>
      <c r="G8" s="9"/>
    </row>
    <row r="9" spans="2:11" ht="20.5" thickBot="1">
      <c r="B9" s="8"/>
      <c r="C9"/>
      <c r="D9" s="123"/>
      <c r="E9" s="101" t="s">
        <v>140</v>
      </c>
      <c r="F9" s="116">
        <f>'Cinema Data'!G9</f>
        <v>0</v>
      </c>
      <c r="G9" s="9"/>
    </row>
    <row r="10" spans="2:11" ht="19.5" customHeight="1">
      <c r="B10" s="8"/>
      <c r="G10" s="9"/>
    </row>
    <row r="11" spans="2:11" ht="35">
      <c r="B11" s="26"/>
      <c r="C11" s="489" t="s">
        <v>142</v>
      </c>
      <c r="D11" s="489"/>
      <c r="E11" s="489"/>
      <c r="F11" s="489"/>
      <c r="G11" s="29"/>
    </row>
    <row r="12" spans="2:11" ht="14.5" thickBot="1">
      <c r="B12" s="26"/>
      <c r="C12" s="37"/>
      <c r="D12" s="37"/>
      <c r="E12" s="37"/>
      <c r="F12" s="37"/>
      <c r="G12" s="29"/>
    </row>
    <row r="13" spans="2:11" ht="20.5" thickBot="1">
      <c r="B13" s="26"/>
      <c r="D13" s="38" t="s">
        <v>132</v>
      </c>
      <c r="E13" s="38" t="s">
        <v>133</v>
      </c>
      <c r="F13" s="38" t="s">
        <v>154</v>
      </c>
      <c r="G13" s="29"/>
      <c r="K13"/>
    </row>
    <row r="14" spans="2:11" ht="117" customHeight="1" thickBot="1">
      <c r="B14" s="26"/>
      <c r="C14" s="38" t="s">
        <v>134</v>
      </c>
      <c r="D14" s="302" t="s">
        <v>167</v>
      </c>
      <c r="E14" s="303" t="s">
        <v>167</v>
      </c>
      <c r="F14" s="304" t="s">
        <v>167</v>
      </c>
      <c r="G14" s="29"/>
    </row>
    <row r="15" spans="2:11" ht="117" customHeight="1" thickBot="1">
      <c r="B15" s="26"/>
      <c r="C15" s="38" t="s">
        <v>135</v>
      </c>
      <c r="D15" s="302" t="s">
        <v>167</v>
      </c>
      <c r="E15" s="303" t="s">
        <v>167</v>
      </c>
      <c r="F15" s="304" t="s">
        <v>167</v>
      </c>
      <c r="G15" s="29"/>
    </row>
    <row r="16" spans="2:11">
      <c r="B16" s="8"/>
      <c r="G16" s="9"/>
    </row>
    <row r="17" spans="2:7">
      <c r="B17" s="8"/>
      <c r="C17" s="491"/>
      <c r="D17" s="491"/>
      <c r="E17" s="491"/>
      <c r="F17" s="491"/>
      <c r="G17" s="9"/>
    </row>
    <row r="18" spans="2:7">
      <c r="B18" s="8"/>
      <c r="C18" s="491"/>
      <c r="D18" s="491"/>
      <c r="E18" s="491"/>
      <c r="F18" s="491"/>
      <c r="G18" s="9"/>
    </row>
    <row r="19" spans="2:7">
      <c r="B19" s="8"/>
      <c r="C19" s="491"/>
      <c r="D19" s="491"/>
      <c r="E19" s="491"/>
      <c r="F19" s="491"/>
      <c r="G19" s="9"/>
    </row>
    <row r="20" spans="2:7">
      <c r="B20" s="8"/>
      <c r="C20" s="491"/>
      <c r="D20" s="491"/>
      <c r="E20" s="491"/>
      <c r="F20" s="491"/>
      <c r="G20" s="9"/>
    </row>
    <row r="21" spans="2:7">
      <c r="B21" s="8"/>
      <c r="C21" s="491"/>
      <c r="D21" s="491"/>
      <c r="E21" s="491"/>
      <c r="F21" s="491"/>
      <c r="G21" s="9"/>
    </row>
    <row r="22" spans="2:7">
      <c r="B22" s="8"/>
      <c r="C22" s="491"/>
      <c r="D22" s="491"/>
      <c r="E22" s="491"/>
      <c r="F22" s="491"/>
      <c r="G22" s="9"/>
    </row>
    <row r="23" spans="2:7">
      <c r="B23" s="8"/>
      <c r="C23" s="491"/>
      <c r="D23" s="491"/>
      <c r="E23" s="491"/>
      <c r="F23" s="491"/>
      <c r="G23" s="9"/>
    </row>
    <row r="24" spans="2:7">
      <c r="B24" s="8"/>
      <c r="C24" s="491"/>
      <c r="D24" s="491"/>
      <c r="E24" s="491"/>
      <c r="F24" s="491"/>
      <c r="G24" s="9"/>
    </row>
    <row r="25" spans="2:7">
      <c r="B25" s="8"/>
      <c r="C25" s="491"/>
      <c r="D25" s="491"/>
      <c r="E25" s="491"/>
      <c r="F25" s="491"/>
      <c r="G25" s="9"/>
    </row>
    <row r="26" spans="2:7">
      <c r="B26" s="8"/>
      <c r="C26" s="491"/>
      <c r="D26" s="491"/>
      <c r="E26" s="491"/>
      <c r="F26" s="491"/>
      <c r="G26" s="9"/>
    </row>
    <row r="27" spans="2:7">
      <c r="B27" s="8"/>
      <c r="C27" s="491"/>
      <c r="D27" s="491"/>
      <c r="E27" s="491"/>
      <c r="F27" s="491"/>
      <c r="G27" s="9"/>
    </row>
    <row r="28" spans="2:7">
      <c r="B28" s="8"/>
      <c r="C28" s="491"/>
      <c r="D28" s="491"/>
      <c r="E28" s="491"/>
      <c r="F28" s="491"/>
      <c r="G28" s="9"/>
    </row>
    <row r="29" spans="2:7">
      <c r="B29" s="8"/>
      <c r="C29" s="491"/>
      <c r="D29" s="491"/>
      <c r="E29" s="491"/>
      <c r="F29" s="491"/>
      <c r="G29" s="9"/>
    </row>
    <row r="30" spans="2:7">
      <c r="B30" s="8"/>
      <c r="C30" s="491"/>
      <c r="D30" s="491"/>
      <c r="E30" s="491"/>
      <c r="F30" s="491"/>
      <c r="G30" s="9"/>
    </row>
    <row r="31" spans="2:7">
      <c r="B31" s="8"/>
      <c r="C31" s="491"/>
      <c r="D31" s="491"/>
      <c r="E31" s="491"/>
      <c r="F31" s="491"/>
      <c r="G31" s="9"/>
    </row>
    <row r="32" spans="2:7">
      <c r="B32" s="8"/>
      <c r="C32" s="491"/>
      <c r="D32" s="491"/>
      <c r="E32" s="491"/>
      <c r="F32" s="491"/>
      <c r="G32" s="9"/>
    </row>
    <row r="33" spans="2:7">
      <c r="B33" s="8"/>
      <c r="C33" s="491"/>
      <c r="D33" s="491"/>
      <c r="E33" s="491"/>
      <c r="F33" s="491"/>
      <c r="G33" s="9"/>
    </row>
    <row r="34" spans="2:7">
      <c r="B34" s="8"/>
      <c r="C34" s="491"/>
      <c r="D34" s="491"/>
      <c r="E34" s="491"/>
      <c r="F34" s="491"/>
      <c r="G34" s="9"/>
    </row>
    <row r="35" spans="2:7">
      <c r="B35" s="8"/>
      <c r="C35" s="491"/>
      <c r="D35" s="491"/>
      <c r="E35" s="491"/>
      <c r="F35" s="491"/>
      <c r="G35" s="9"/>
    </row>
    <row r="36" spans="2:7">
      <c r="B36" s="8"/>
      <c r="C36" s="491"/>
      <c r="D36" s="491"/>
      <c r="E36" s="491"/>
      <c r="F36" s="491"/>
      <c r="G36" s="9"/>
    </row>
    <row r="37" spans="2:7">
      <c r="B37" s="8"/>
      <c r="C37" s="491"/>
      <c r="D37" s="491"/>
      <c r="E37" s="491"/>
      <c r="F37" s="491"/>
      <c r="G37" s="9"/>
    </row>
    <row r="38" spans="2:7">
      <c r="B38" s="8"/>
      <c r="C38" s="491"/>
      <c r="D38" s="491"/>
      <c r="E38" s="491"/>
      <c r="F38" s="491"/>
      <c r="G38" s="9"/>
    </row>
    <row r="39" spans="2:7">
      <c r="B39" s="8"/>
      <c r="C39" s="491"/>
      <c r="D39" s="491"/>
      <c r="E39" s="491"/>
      <c r="F39" s="491"/>
      <c r="G39" s="9"/>
    </row>
    <row r="40" spans="2:7">
      <c r="B40" s="8"/>
      <c r="G40" s="9"/>
    </row>
    <row r="41" spans="2:7" ht="23">
      <c r="B41" s="8"/>
      <c r="C41" s="490" t="s">
        <v>184</v>
      </c>
      <c r="D41" s="490"/>
      <c r="E41" s="490"/>
      <c r="F41" s="490"/>
      <c r="G41" s="9"/>
    </row>
    <row r="42" spans="2:7">
      <c r="B42" s="8"/>
      <c r="G42" s="9"/>
    </row>
    <row r="43" spans="2:7" ht="35">
      <c r="B43" s="8"/>
      <c r="C43" s="487" t="s">
        <v>92</v>
      </c>
      <c r="D43" s="488"/>
      <c r="E43" s="488"/>
      <c r="F43" s="488"/>
      <c r="G43" s="9"/>
    </row>
    <row r="44" spans="2:7">
      <c r="B44" s="8"/>
      <c r="G44" s="9"/>
    </row>
    <row r="45" spans="2:7">
      <c r="B45" s="8"/>
      <c r="G45" s="9"/>
    </row>
    <row r="46" spans="2:7" ht="20">
      <c r="B46" s="8"/>
      <c r="C46" s="36" t="s">
        <v>62</v>
      </c>
      <c r="D46" s="36" t="str">
        <f>'Cinema Data'!D2</f>
        <v>Est Audience</v>
      </c>
      <c r="E46" s="36" t="str">
        <f>'Cinema Data'!E2</f>
        <v xml:space="preserve">Delivered Audience </v>
      </c>
      <c r="F46" s="36" t="s">
        <v>144</v>
      </c>
      <c r="G46" s="9"/>
    </row>
    <row r="47" spans="2:7" ht="20">
      <c r="B47" s="8"/>
      <c r="C47" s="19" t="str">
        <f>'Cinema Data'!C3</f>
        <v>VMO</v>
      </c>
      <c r="D47" s="35">
        <f>'Cinema Data'!D3</f>
        <v>0</v>
      </c>
      <c r="E47" s="35">
        <f>'Cinema Data'!E3</f>
        <v>0</v>
      </c>
      <c r="F47" s="20">
        <f>'Cinema Data'!G9</f>
        <v>0</v>
      </c>
      <c r="G47" s="9"/>
    </row>
    <row r="48" spans="2:7" ht="20">
      <c r="B48" s="8"/>
      <c r="C48" s="36" t="s">
        <v>72</v>
      </c>
      <c r="D48" s="39">
        <f>SUM(D47:D47)</f>
        <v>0</v>
      </c>
      <c r="E48" s="39">
        <f>SUM(E47:E47)</f>
        <v>0</v>
      </c>
      <c r="F48" s="40">
        <f>SUM(F47:F47)</f>
        <v>0</v>
      </c>
      <c r="G48" s="9"/>
    </row>
    <row r="49" spans="2:7">
      <c r="B49" s="8"/>
      <c r="G49" s="9"/>
    </row>
    <row r="50" spans="2:7">
      <c r="B50" s="8"/>
      <c r="G50" s="9"/>
    </row>
    <row r="51" spans="2:7">
      <c r="B51" s="8"/>
      <c r="G51" s="9"/>
    </row>
    <row r="52" spans="2:7">
      <c r="B52" s="8"/>
      <c r="G52" s="9"/>
    </row>
    <row r="53" spans="2:7">
      <c r="B53" s="8"/>
      <c r="G53" s="9"/>
    </row>
    <row r="54" spans="2:7">
      <c r="B54" s="8"/>
      <c r="G54" s="9"/>
    </row>
    <row r="55" spans="2:7">
      <c r="B55" s="8"/>
      <c r="G55" s="9"/>
    </row>
    <row r="56" spans="2:7">
      <c r="B56" s="8"/>
      <c r="G56" s="9"/>
    </row>
    <row r="57" spans="2:7">
      <c r="B57" s="8"/>
      <c r="G57" s="9"/>
    </row>
    <row r="58" spans="2:7">
      <c r="B58" s="8"/>
      <c r="G58" s="9"/>
    </row>
    <row r="59" spans="2:7">
      <c r="B59" s="8"/>
      <c r="G59" s="9"/>
    </row>
    <row r="60" spans="2:7">
      <c r="B60" s="8"/>
      <c r="G60" s="9"/>
    </row>
    <row r="61" spans="2:7">
      <c r="B61" s="8"/>
      <c r="G61" s="9"/>
    </row>
    <row r="62" spans="2:7">
      <c r="B62" s="8"/>
      <c r="G62" s="9"/>
    </row>
    <row r="63" spans="2:7">
      <c r="B63" s="8"/>
      <c r="G63" s="9"/>
    </row>
    <row r="64" spans="2:7">
      <c r="B64" s="8"/>
      <c r="G64" s="9"/>
    </row>
    <row r="65" spans="2:7">
      <c r="B65" s="8"/>
      <c r="G65" s="9"/>
    </row>
    <row r="66" spans="2:7">
      <c r="B66" s="8"/>
      <c r="G66" s="9"/>
    </row>
    <row r="67" spans="2:7">
      <c r="B67" s="8"/>
      <c r="G67" s="9"/>
    </row>
    <row r="68" spans="2:7">
      <c r="B68" s="8"/>
      <c r="G68" s="9"/>
    </row>
    <row r="69" spans="2:7">
      <c r="B69" s="8"/>
      <c r="G69" s="9"/>
    </row>
    <row r="70" spans="2:7">
      <c r="B70" s="8"/>
      <c r="G70" s="9"/>
    </row>
    <row r="71" spans="2:7">
      <c r="B71" s="8"/>
      <c r="G71" s="9"/>
    </row>
    <row r="72" spans="2:7">
      <c r="B72" s="8"/>
      <c r="G72" s="9"/>
    </row>
    <row r="73" spans="2:7" ht="14.5" thickBot="1">
      <c r="B73" s="16"/>
      <c r="C73" s="17"/>
      <c r="D73" s="17"/>
      <c r="E73" s="17"/>
      <c r="F73" s="17"/>
      <c r="G73" s="18"/>
    </row>
  </sheetData>
  <mergeCells count="4">
    <mergeCell ref="C43:F43"/>
    <mergeCell ref="C11:F11"/>
    <mergeCell ref="C41:F41"/>
    <mergeCell ref="C17:F39"/>
  </mergeCells>
  <printOptions verticalCentered="1"/>
  <pageMargins left="7.874015748031496E-2" right="7.874015748031496E-2" top="7.874015748031496E-2" bottom="7.874015748031496E-2" header="3.937007874015748E-2" footer="3.937007874015748E-2"/>
  <pageSetup paperSize="8" scale="6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70E1-7E9D-4363-817D-4ABBB80A6E25}">
  <dimension ref="B1:M18"/>
  <sheetViews>
    <sheetView showGridLines="0" zoomScale="145" zoomScaleNormal="145" workbookViewId="0">
      <selection activeCell="B8" sqref="B8"/>
    </sheetView>
  </sheetViews>
  <sheetFormatPr defaultColWidth="8.83203125" defaultRowHeight="15.5"/>
  <cols>
    <col min="1" max="1" width="2.58203125" style="124" customWidth="1"/>
    <col min="2" max="2" width="11.83203125" style="124" bestFit="1" customWidth="1"/>
    <col min="3" max="3" width="5.58203125" style="124" bestFit="1" customWidth="1"/>
    <col min="4" max="4" width="13.83203125" style="124" bestFit="1" customWidth="1"/>
    <col min="5" max="5" width="20.5" style="124" bestFit="1" customWidth="1"/>
    <col min="6" max="6" width="17.5" style="124" bestFit="1" customWidth="1"/>
    <col min="7" max="7" width="16.5" style="124" bestFit="1" customWidth="1"/>
    <col min="8" max="8" width="5.25" style="124" customWidth="1"/>
    <col min="9" max="9" width="8.83203125" style="124"/>
    <col min="10" max="10" width="21.58203125" style="124" customWidth="1"/>
    <col min="11" max="11" width="19" style="124" customWidth="1"/>
    <col min="12" max="16384" width="8.83203125" style="124"/>
  </cols>
  <sheetData>
    <row r="1" spans="2:13" ht="16" thickBot="1">
      <c r="H1" s="125"/>
    </row>
    <row r="2" spans="2:13" ht="16" thickBot="1">
      <c r="B2" s="492" t="s">
        <v>109</v>
      </c>
      <c r="C2" s="493"/>
      <c r="D2" s="126" t="s">
        <v>124</v>
      </c>
      <c r="E2" s="127" t="s">
        <v>123</v>
      </c>
      <c r="F2" s="128" t="s">
        <v>93</v>
      </c>
      <c r="G2" s="129" t="s">
        <v>94</v>
      </c>
      <c r="H2" s="125"/>
    </row>
    <row r="3" spans="2:13" ht="16" thickBot="1">
      <c r="B3" s="130" t="s">
        <v>122</v>
      </c>
      <c r="C3" s="131" t="s">
        <v>185</v>
      </c>
      <c r="D3" s="132">
        <v>0</v>
      </c>
      <c r="E3" s="132">
        <v>0</v>
      </c>
      <c r="F3" s="133">
        <v>0</v>
      </c>
      <c r="G3" s="134">
        <v>0</v>
      </c>
      <c r="H3" s="125"/>
    </row>
    <row r="4" spans="2:13" ht="16" thickBot="1">
      <c r="B4" s="135"/>
      <c r="D4" s="136"/>
      <c r="E4" s="136"/>
      <c r="F4" s="137"/>
      <c r="G4" s="137"/>
      <c r="H4" s="138"/>
    </row>
    <row r="5" spans="2:13" ht="16" thickBot="1">
      <c r="B5" s="492" t="s">
        <v>110</v>
      </c>
      <c r="C5" s="493"/>
      <c r="D5" s="126" t="s">
        <v>124</v>
      </c>
      <c r="E5" s="127" t="s">
        <v>123</v>
      </c>
      <c r="F5" s="139" t="s">
        <v>93</v>
      </c>
      <c r="G5" s="140" t="s">
        <v>94</v>
      </c>
      <c r="H5" s="125"/>
    </row>
    <row r="6" spans="2:13" ht="16" thickBot="1">
      <c r="B6" s="130" t="s">
        <v>122</v>
      </c>
      <c r="C6" s="131" t="s">
        <v>185</v>
      </c>
      <c r="D6" s="132">
        <v>0</v>
      </c>
      <c r="E6" s="132">
        <v>0</v>
      </c>
      <c r="F6" s="133">
        <v>0</v>
      </c>
      <c r="G6" s="134">
        <v>0</v>
      </c>
      <c r="H6" s="125"/>
    </row>
    <row r="7" spans="2:13" ht="16" thickBot="1">
      <c r="B7" s="135"/>
      <c r="D7" s="136"/>
      <c r="E7" s="136"/>
      <c r="F7" s="137"/>
      <c r="G7" s="137"/>
      <c r="H7" s="138"/>
    </row>
    <row r="8" spans="2:13">
      <c r="E8" s="141" t="s">
        <v>169</v>
      </c>
      <c r="F8" s="142">
        <f>SUM(F3)</f>
        <v>0</v>
      </c>
      <c r="G8" s="143">
        <f>SUM(G3)</f>
        <v>0</v>
      </c>
      <c r="H8" s="125"/>
      <c r="K8" s="144"/>
      <c r="M8" s="145"/>
    </row>
    <row r="9" spans="2:13" ht="16" thickBot="1">
      <c r="E9" s="146" t="s">
        <v>170</v>
      </c>
      <c r="F9" s="147">
        <f>SUM(F3*0.9)</f>
        <v>0</v>
      </c>
      <c r="G9" s="148">
        <f>SUM(G3*0.9)</f>
        <v>0</v>
      </c>
    </row>
    <row r="10" spans="2:13">
      <c r="F10" s="145"/>
      <c r="G10" s="145"/>
    </row>
    <row r="11" spans="2:13" ht="16" thickBot="1">
      <c r="C11" s="149"/>
      <c r="D11" s="149"/>
      <c r="E11" s="150" t="s">
        <v>172</v>
      </c>
      <c r="F11" s="145"/>
      <c r="G11" s="145"/>
    </row>
    <row r="12" spans="2:13">
      <c r="E12" s="141" t="s">
        <v>169</v>
      </c>
      <c r="F12" s="151">
        <f>SUM(F6)</f>
        <v>0</v>
      </c>
      <c r="G12" s="152">
        <f>SUM(G6)</f>
        <v>0</v>
      </c>
    </row>
    <row r="13" spans="2:13" ht="16" thickBot="1">
      <c r="E13" s="146" t="s">
        <v>170</v>
      </c>
      <c r="F13" s="153">
        <f>F12*0.9</f>
        <v>0</v>
      </c>
      <c r="G13" s="154">
        <f>G12*0.9</f>
        <v>0</v>
      </c>
      <c r="J13" s="145"/>
    </row>
    <row r="14" spans="2:13">
      <c r="J14" s="145"/>
    </row>
    <row r="15" spans="2:13">
      <c r="J15" s="145"/>
    </row>
    <row r="16" spans="2:13">
      <c r="J16" s="145"/>
    </row>
    <row r="17" spans="7:10">
      <c r="J17" s="145"/>
    </row>
    <row r="18" spans="7:10">
      <c r="G18" s="145"/>
    </row>
  </sheetData>
  <mergeCells count="2">
    <mergeCell ref="B2:C2"/>
    <mergeCell ref="B5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494A-E616-4D29-90F0-E30F2D6432C7}">
  <sheetPr>
    <tabColor theme="1"/>
    <pageSetUpPr fitToPage="1"/>
  </sheetPr>
  <dimension ref="B1:K56"/>
  <sheetViews>
    <sheetView showGridLines="0" topLeftCell="A5" zoomScale="130" zoomScaleNormal="130" zoomScaleSheetLayoutView="55" workbookViewId="0">
      <selection activeCell="C13" sqref="C13"/>
    </sheetView>
  </sheetViews>
  <sheetFormatPr defaultColWidth="9.08203125" defaultRowHeight="14"/>
  <cols>
    <col min="1" max="2" width="3.58203125" style="1" customWidth="1"/>
    <col min="3" max="3" width="23.25" style="1" bestFit="1" customWidth="1"/>
    <col min="4" max="4" width="35.33203125" style="1" bestFit="1" customWidth="1"/>
    <col min="5" max="5" width="49.33203125" style="1" bestFit="1" customWidth="1"/>
    <col min="6" max="6" width="42.33203125" style="1" bestFit="1" customWidth="1"/>
    <col min="7" max="7" width="3.58203125" style="1" customWidth="1"/>
    <col min="8" max="16384" width="9.08203125" style="1"/>
  </cols>
  <sheetData>
    <row r="1" spans="2:11" ht="14.5" thickBot="1"/>
    <row r="2" spans="2:11" ht="20.25" customHeight="1">
      <c r="B2" s="5"/>
      <c r="C2" s="6"/>
      <c r="D2" s="6"/>
      <c r="E2" s="6"/>
      <c r="F2" s="6"/>
      <c r="G2" s="7"/>
    </row>
    <row r="3" spans="2:11" ht="20.25" customHeight="1">
      <c r="B3" s="8"/>
      <c r="G3" s="9"/>
    </row>
    <row r="4" spans="2:11" ht="20.25" customHeight="1">
      <c r="B4" s="10"/>
      <c r="G4" s="11"/>
    </row>
    <row r="5" spans="2:11" s="3" customFormat="1" ht="20.25" customHeight="1">
      <c r="B5" s="12"/>
      <c r="G5" s="13"/>
    </row>
    <row r="6" spans="2:11" ht="12" customHeight="1" thickBot="1">
      <c r="B6" s="8"/>
      <c r="G6" s="14"/>
    </row>
    <row r="7" spans="2:11" ht="20">
      <c r="B7" s="8"/>
      <c r="C7" s="93" t="s">
        <v>80</v>
      </c>
      <c r="D7" s="96" t="s">
        <v>118</v>
      </c>
      <c r="E7" s="108" t="s">
        <v>137</v>
      </c>
      <c r="F7" s="109">
        <v>0</v>
      </c>
      <c r="G7" s="9"/>
    </row>
    <row r="8" spans="2:11" ht="20">
      <c r="B8" s="8"/>
      <c r="C8" s="97" t="s">
        <v>97</v>
      </c>
      <c r="D8" s="105" t="s">
        <v>14</v>
      </c>
      <c r="E8" s="110" t="s">
        <v>138</v>
      </c>
      <c r="F8" s="111">
        <f>'Press Data'!F16</f>
        <v>0</v>
      </c>
      <c r="G8" s="9"/>
    </row>
    <row r="9" spans="2:11" ht="20.5" thickBot="1">
      <c r="B9" s="8"/>
      <c r="C9" s="106" t="s">
        <v>98</v>
      </c>
      <c r="D9" s="107" t="s">
        <v>14</v>
      </c>
      <c r="E9" s="97" t="s">
        <v>139</v>
      </c>
      <c r="F9" s="117">
        <f>SUM(F7-F8)</f>
        <v>0</v>
      </c>
      <c r="G9" s="9"/>
    </row>
    <row r="10" spans="2:11" ht="20.5" thickBot="1">
      <c r="B10" s="8"/>
      <c r="C10"/>
      <c r="D10"/>
      <c r="E10" s="101" t="s">
        <v>140</v>
      </c>
      <c r="F10" s="113">
        <f>F32</f>
        <v>0</v>
      </c>
      <c r="G10" s="9"/>
    </row>
    <row r="11" spans="2:11" s="3" customFormat="1">
      <c r="B11" s="12"/>
      <c r="G11" s="15"/>
    </row>
    <row r="12" spans="2:11" ht="35">
      <c r="B12" s="26"/>
      <c r="C12" s="495" t="s">
        <v>129</v>
      </c>
      <c r="D12" s="496"/>
      <c r="E12" s="496"/>
      <c r="F12" s="496"/>
      <c r="G12" s="29"/>
    </row>
    <row r="13" spans="2:11" ht="14.5" thickBot="1">
      <c r="B13" s="26"/>
      <c r="C13" s="37"/>
      <c r="D13" s="37"/>
      <c r="E13" s="37"/>
      <c r="F13" s="37"/>
      <c r="G13" s="29"/>
    </row>
    <row r="14" spans="2:11" ht="20.5" thickBot="1">
      <c r="B14" s="26"/>
      <c r="D14" s="38" t="s">
        <v>132</v>
      </c>
      <c r="E14" s="38" t="s">
        <v>133</v>
      </c>
      <c r="F14" s="38" t="s">
        <v>154</v>
      </c>
      <c r="G14" s="29"/>
      <c r="K14"/>
    </row>
    <row r="15" spans="2:11" ht="137.25" customHeight="1" thickBot="1">
      <c r="B15" s="26"/>
      <c r="C15" s="38" t="s">
        <v>134</v>
      </c>
      <c r="D15" s="368" t="s">
        <v>167</v>
      </c>
      <c r="E15" s="369" t="s">
        <v>167</v>
      </c>
      <c r="F15" s="370" t="s">
        <v>167</v>
      </c>
      <c r="G15" s="29"/>
    </row>
    <row r="16" spans="2:11" ht="137.25" customHeight="1" thickBot="1">
      <c r="B16" s="26"/>
      <c r="C16" s="38" t="s">
        <v>135</v>
      </c>
      <c r="D16" s="368" t="s">
        <v>167</v>
      </c>
      <c r="E16" s="369" t="s">
        <v>167</v>
      </c>
      <c r="F16" s="370" t="s">
        <v>167</v>
      </c>
      <c r="G16" s="29"/>
    </row>
    <row r="17" spans="2:7">
      <c r="B17" s="8"/>
      <c r="G17" s="9"/>
    </row>
    <row r="18" spans="2:7" ht="35">
      <c r="B18" s="8"/>
      <c r="C18" s="494" t="s">
        <v>92</v>
      </c>
      <c r="D18" s="488"/>
      <c r="E18" s="488"/>
      <c r="F18" s="488"/>
      <c r="G18" s="9"/>
    </row>
    <row r="19" spans="2:7">
      <c r="B19" s="8"/>
      <c r="G19" s="9"/>
    </row>
    <row r="20" spans="2:7" ht="14.5" thickBot="1">
      <c r="B20" s="8"/>
      <c r="G20" s="9"/>
    </row>
    <row r="21" spans="2:7" ht="20.5" thickBot="1">
      <c r="B21" s="8"/>
      <c r="C21" s="285" t="s">
        <v>62</v>
      </c>
      <c r="D21" s="297" t="s">
        <v>104</v>
      </c>
      <c r="E21" s="297" t="s">
        <v>105</v>
      </c>
      <c r="F21" s="298" t="s">
        <v>144</v>
      </c>
      <c r="G21" s="9"/>
    </row>
    <row r="22" spans="2:7" ht="20">
      <c r="B22" s="8"/>
      <c r="C22" s="289" t="str">
        <f>'Press Data'!C3</f>
        <v>Newscorp</v>
      </c>
      <c r="D22" s="290">
        <f>'Press Data'!D3</f>
        <v>0</v>
      </c>
      <c r="E22" s="290">
        <f>'Press Data'!E3</f>
        <v>0</v>
      </c>
      <c r="F22" s="291" cm="1">
        <f t="array" ref="F22">'Press Data'!H3:H3</f>
        <v>0</v>
      </c>
      <c r="G22" s="42"/>
    </row>
    <row r="23" spans="2:7" ht="20">
      <c r="B23" s="8"/>
      <c r="C23" s="46" t="str">
        <f>'Press Data'!C4</f>
        <v>Nine</v>
      </c>
      <c r="D23" s="292">
        <f>'Press Data'!D4</f>
        <v>0</v>
      </c>
      <c r="E23" s="292">
        <f>'Press Data'!E4</f>
        <v>0</v>
      </c>
      <c r="F23" s="293" cm="1">
        <f t="array" ref="F23">'Press Data'!H4:H4</f>
        <v>0</v>
      </c>
      <c r="G23" s="42"/>
    </row>
    <row r="24" spans="2:7" ht="20">
      <c r="B24" s="8"/>
      <c r="C24" s="46" t="str">
        <f>'Press Data'!C5</f>
        <v>xxx</v>
      </c>
      <c r="D24" s="292">
        <f>'Press Data'!D5</f>
        <v>0</v>
      </c>
      <c r="E24" s="292">
        <f>'Press Data'!E5</f>
        <v>0</v>
      </c>
      <c r="F24" s="293" cm="1">
        <f t="array" ref="F24">'Press Data'!H5:H5</f>
        <v>0</v>
      </c>
      <c r="G24" s="42"/>
    </row>
    <row r="25" spans="2:7" ht="20">
      <c r="B25" s="8"/>
      <c r="C25" s="46" t="str">
        <f>'Press Data'!C6</f>
        <v>RMC</v>
      </c>
      <c r="D25" s="292">
        <f>'Press Data'!D6</f>
        <v>0</v>
      </c>
      <c r="E25" s="292">
        <f>'Press Data'!E6</f>
        <v>0</v>
      </c>
      <c r="F25" s="293" cm="1">
        <f t="array" ref="F25">'Press Data'!H6:H6</f>
        <v>0</v>
      </c>
      <c r="G25" s="42"/>
    </row>
    <row r="26" spans="2:7" ht="20">
      <c r="B26" s="8"/>
      <c r="C26" s="46" t="str">
        <f>'Press Data'!C7</f>
        <v>ACM</v>
      </c>
      <c r="D26" s="292">
        <f>'Press Data'!D7</f>
        <v>0</v>
      </c>
      <c r="E26" s="292">
        <f>'Press Data'!E7</f>
        <v>0</v>
      </c>
      <c r="F26" s="293" cm="1">
        <f t="array" ref="F26">'Press Data'!H7:H7</f>
        <v>0</v>
      </c>
      <c r="G26" s="42"/>
    </row>
    <row r="27" spans="2:7" ht="20">
      <c r="B27" s="8"/>
      <c r="C27" s="46" t="str">
        <f>'Press Data'!C8</f>
        <v>CNAV</v>
      </c>
      <c r="D27" s="292">
        <f>'Press Data'!D8</f>
        <v>0</v>
      </c>
      <c r="E27" s="292">
        <f>'Press Data'!E8</f>
        <v>0</v>
      </c>
      <c r="F27" s="293" cm="1">
        <f t="array" ref="F27">'Press Data'!H8:H8</f>
        <v>0</v>
      </c>
      <c r="G27" s="42"/>
    </row>
    <row r="28" spans="2:7" ht="20">
      <c r="B28" s="8"/>
      <c r="C28" s="46" t="str">
        <f>'Press Data'!C9</f>
        <v>Newscorp</v>
      </c>
      <c r="D28" s="292">
        <f>'Press Data'!D9</f>
        <v>0</v>
      </c>
      <c r="E28" s="292">
        <f>'Press Data'!E9</f>
        <v>0</v>
      </c>
      <c r="F28" s="293" cm="1">
        <f t="array" ref="F28">'Press Data'!H9:H9</f>
        <v>0</v>
      </c>
      <c r="G28" s="42"/>
    </row>
    <row r="29" spans="2:7" ht="20">
      <c r="B29" s="8"/>
      <c r="C29" s="46" t="str">
        <f>'Press Data'!C10</f>
        <v>BOFB</v>
      </c>
      <c r="D29" s="292">
        <f>'Press Data'!D10</f>
        <v>0</v>
      </c>
      <c r="E29" s="292">
        <f>'Press Data'!E10</f>
        <v>0</v>
      </c>
      <c r="F29" s="293" cm="1">
        <f t="array" ref="F29">'Press Data'!H10:H10</f>
        <v>0</v>
      </c>
      <c r="G29" s="42"/>
    </row>
    <row r="30" spans="2:7" ht="20">
      <c r="B30" s="8"/>
      <c r="C30" s="46" t="str">
        <f>'Press Data'!C11</f>
        <v>LEBA</v>
      </c>
      <c r="D30" s="292">
        <f>'Press Data'!D11</f>
        <v>0</v>
      </c>
      <c r="E30" s="292">
        <f>'Press Data'!E11</f>
        <v>0</v>
      </c>
      <c r="F30" s="293" cm="1">
        <f t="array" ref="F30">'Press Data'!H11:H11</f>
        <v>0</v>
      </c>
      <c r="G30" s="42"/>
    </row>
    <row r="31" spans="2:7" ht="20.5" thickBot="1">
      <c r="B31" s="8"/>
      <c r="C31" s="294" t="str">
        <f>'Press Data'!C12</f>
        <v>xxx</v>
      </c>
      <c r="D31" s="295">
        <f>'Press Data'!D12</f>
        <v>0</v>
      </c>
      <c r="E31" s="295">
        <f>'Press Data'!E12</f>
        <v>0</v>
      </c>
      <c r="F31" s="296" cm="1">
        <f t="array" ref="F31">'Press Data'!H12:H12</f>
        <v>0</v>
      </c>
      <c r="G31" s="42"/>
    </row>
    <row r="32" spans="2:7" ht="20.5" thickBot="1">
      <c r="B32" s="8"/>
      <c r="C32" s="285" t="s">
        <v>72</v>
      </c>
      <c r="D32" s="286">
        <f>SUM(D22:D31)</f>
        <v>0</v>
      </c>
      <c r="E32" s="287">
        <f>SUM(E22:E31)</f>
        <v>0</v>
      </c>
      <c r="F32" s="288">
        <f>SUM(F22:F31)</f>
        <v>0</v>
      </c>
      <c r="G32" s="9"/>
    </row>
    <row r="33" spans="2:7">
      <c r="B33" s="8"/>
      <c r="G33" s="9"/>
    </row>
    <row r="34" spans="2:7">
      <c r="B34" s="8"/>
      <c r="G34" s="9"/>
    </row>
    <row r="35" spans="2:7">
      <c r="B35" s="8"/>
      <c r="G35" s="9"/>
    </row>
    <row r="36" spans="2:7">
      <c r="B36" s="8"/>
      <c r="G36" s="9"/>
    </row>
    <row r="37" spans="2:7">
      <c r="B37" s="8"/>
      <c r="G37" s="9"/>
    </row>
    <row r="38" spans="2:7">
      <c r="B38" s="8"/>
      <c r="G38" s="9"/>
    </row>
    <row r="39" spans="2:7">
      <c r="B39" s="8"/>
      <c r="G39" s="9"/>
    </row>
    <row r="40" spans="2:7">
      <c r="B40" s="8"/>
      <c r="G40" s="9"/>
    </row>
    <row r="41" spans="2:7">
      <c r="B41" s="8"/>
      <c r="G41" s="9"/>
    </row>
    <row r="42" spans="2:7">
      <c r="B42" s="8"/>
      <c r="G42" s="9"/>
    </row>
    <row r="43" spans="2:7">
      <c r="B43" s="8"/>
      <c r="G43" s="9"/>
    </row>
    <row r="44" spans="2:7">
      <c r="B44" s="8"/>
      <c r="G44" s="9"/>
    </row>
    <row r="45" spans="2:7">
      <c r="B45" s="8"/>
      <c r="G45" s="9"/>
    </row>
    <row r="46" spans="2:7">
      <c r="B46" s="8"/>
      <c r="G46" s="9"/>
    </row>
    <row r="47" spans="2:7">
      <c r="B47" s="8"/>
      <c r="G47" s="9"/>
    </row>
    <row r="48" spans="2:7">
      <c r="B48" s="8"/>
      <c r="G48" s="9"/>
    </row>
    <row r="49" spans="2:7">
      <c r="B49" s="8"/>
      <c r="G49" s="9"/>
    </row>
    <row r="50" spans="2:7">
      <c r="B50" s="8"/>
      <c r="G50" s="9"/>
    </row>
    <row r="51" spans="2:7">
      <c r="B51" s="8"/>
      <c r="G51" s="9"/>
    </row>
    <row r="52" spans="2:7">
      <c r="B52" s="8"/>
      <c r="G52" s="9"/>
    </row>
    <row r="53" spans="2:7">
      <c r="B53" s="8"/>
      <c r="G53" s="9"/>
    </row>
    <row r="54" spans="2:7">
      <c r="B54" s="8"/>
      <c r="G54" s="9"/>
    </row>
    <row r="55" spans="2:7">
      <c r="B55" s="8"/>
      <c r="G55" s="9"/>
    </row>
    <row r="56" spans="2:7" ht="14.5" thickBot="1">
      <c r="B56" s="16"/>
      <c r="C56" s="17"/>
      <c r="D56" s="17"/>
      <c r="E56" s="17"/>
      <c r="F56" s="17"/>
      <c r="G56" s="18"/>
    </row>
  </sheetData>
  <mergeCells count="2">
    <mergeCell ref="C18:F18"/>
    <mergeCell ref="C12:F12"/>
  </mergeCells>
  <printOptions verticalCentered="1"/>
  <pageMargins left="7.874015748031496E-2" right="7.874015748031496E-2" top="7.874015748031496E-2" bottom="7.874015748031496E-2" header="3.937007874015748E-2" footer="3.937007874015748E-2"/>
  <pageSetup paperSize="8" scale="58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6F11-F1A4-4B8B-B9B4-E9A5663A88D9}">
  <dimension ref="A1:L24"/>
  <sheetViews>
    <sheetView showGridLines="0" zoomScale="145" zoomScaleNormal="145" workbookViewId="0">
      <selection activeCell="A2" sqref="A2"/>
    </sheetView>
  </sheetViews>
  <sheetFormatPr defaultColWidth="8.83203125" defaultRowHeight="15.5"/>
  <cols>
    <col min="1" max="1" width="19.58203125" style="124" bestFit="1" customWidth="1"/>
    <col min="2" max="2" width="10.83203125" style="124" bestFit="1" customWidth="1"/>
    <col min="3" max="3" width="9.83203125" style="124" bestFit="1" customWidth="1"/>
    <col min="4" max="4" width="15.75" style="124" bestFit="1" customWidth="1"/>
    <col min="5" max="5" width="17.33203125" style="124" bestFit="1" customWidth="1"/>
    <col min="6" max="6" width="16.08203125" style="124" bestFit="1" customWidth="1"/>
    <col min="7" max="7" width="15.08203125" style="124" bestFit="1" customWidth="1"/>
    <col min="8" max="8" width="13.25" style="124" bestFit="1" customWidth="1"/>
    <col min="9" max="9" width="21.58203125" style="124" customWidth="1"/>
    <col min="10" max="10" width="19" style="124" customWidth="1"/>
    <col min="11" max="16384" width="8.83203125" style="124"/>
  </cols>
  <sheetData>
    <row r="1" spans="1:12" ht="16" thickBot="1">
      <c r="H1" s="125"/>
    </row>
    <row r="2" spans="1:12" ht="16" thickBot="1">
      <c r="A2" s="348"/>
      <c r="B2" s="502" t="s">
        <v>153</v>
      </c>
      <c r="C2" s="503"/>
      <c r="D2" s="346" t="s">
        <v>104</v>
      </c>
      <c r="E2" s="346" t="s">
        <v>105</v>
      </c>
      <c r="F2" s="237" t="s">
        <v>93</v>
      </c>
      <c r="G2" s="237" t="s">
        <v>94</v>
      </c>
      <c r="H2" s="347" t="s">
        <v>143</v>
      </c>
    </row>
    <row r="3" spans="1:12">
      <c r="A3" s="497" t="s">
        <v>99</v>
      </c>
      <c r="B3" s="349" t="s">
        <v>189</v>
      </c>
      <c r="C3" s="165" t="str">
        <f>B3</f>
        <v>Newscorp</v>
      </c>
      <c r="D3" s="165">
        <v>0</v>
      </c>
      <c r="E3" s="165">
        <v>0</v>
      </c>
      <c r="F3" s="166">
        <v>0</v>
      </c>
      <c r="G3" s="166">
        <v>0</v>
      </c>
      <c r="H3" s="350">
        <f t="shared" ref="H3:H13" si="0">SUM(G3*0.9)</f>
        <v>0</v>
      </c>
    </row>
    <row r="4" spans="1:12">
      <c r="A4" s="498"/>
      <c r="B4" s="351" t="s">
        <v>35</v>
      </c>
      <c r="C4" s="172" t="str">
        <f t="shared" ref="C4" si="1">B4</f>
        <v>Nine</v>
      </c>
      <c r="D4" s="172">
        <v>0</v>
      </c>
      <c r="E4" s="172">
        <v>0</v>
      </c>
      <c r="F4" s="173">
        <v>0</v>
      </c>
      <c r="G4" s="173">
        <v>0</v>
      </c>
      <c r="H4" s="352">
        <f t="shared" si="0"/>
        <v>0</v>
      </c>
    </row>
    <row r="5" spans="1:12" ht="16" thickBot="1">
      <c r="A5" s="498"/>
      <c r="B5" s="351" t="s">
        <v>91</v>
      </c>
      <c r="C5" s="172" t="str">
        <f t="shared" ref="C5:C10" si="2">B5</f>
        <v>xxx</v>
      </c>
      <c r="D5" s="172">
        <v>0</v>
      </c>
      <c r="E5" s="172">
        <v>0</v>
      </c>
      <c r="F5" s="173">
        <v>0</v>
      </c>
      <c r="G5" s="173">
        <v>0</v>
      </c>
      <c r="H5" s="352">
        <f t="shared" si="0"/>
        <v>0</v>
      </c>
    </row>
    <row r="6" spans="1:12">
      <c r="A6" s="499" t="s">
        <v>100</v>
      </c>
      <c r="B6" s="349" t="s">
        <v>101</v>
      </c>
      <c r="C6" s="165" t="str">
        <f t="shared" si="2"/>
        <v>RMC</v>
      </c>
      <c r="D6" s="165">
        <v>0</v>
      </c>
      <c r="E6" s="165">
        <v>0</v>
      </c>
      <c r="F6" s="353">
        <v>0</v>
      </c>
      <c r="G6" s="353">
        <v>0</v>
      </c>
      <c r="H6" s="350">
        <f t="shared" si="0"/>
        <v>0</v>
      </c>
    </row>
    <row r="7" spans="1:12">
      <c r="A7" s="500"/>
      <c r="B7" s="273" t="s">
        <v>102</v>
      </c>
      <c r="C7" s="172" t="str">
        <f t="shared" si="2"/>
        <v>ACM</v>
      </c>
      <c r="D7" s="172">
        <v>0</v>
      </c>
      <c r="E7" s="172">
        <v>0</v>
      </c>
      <c r="F7" s="173">
        <v>0</v>
      </c>
      <c r="G7" s="173">
        <v>0</v>
      </c>
      <c r="H7" s="352">
        <f t="shared" si="0"/>
        <v>0</v>
      </c>
      <c r="L7" s="145"/>
    </row>
    <row r="8" spans="1:12">
      <c r="A8" s="500"/>
      <c r="B8" s="366" t="s">
        <v>188</v>
      </c>
      <c r="C8" s="180" t="str">
        <f t="shared" si="2"/>
        <v>CNAV</v>
      </c>
      <c r="D8" s="180">
        <v>0</v>
      </c>
      <c r="E8" s="180">
        <v>0</v>
      </c>
      <c r="F8" s="181">
        <v>0</v>
      </c>
      <c r="G8" s="181">
        <v>0</v>
      </c>
      <c r="H8" s="367">
        <f>SUM(G8*0.9)</f>
        <v>0</v>
      </c>
      <c r="L8" s="145"/>
    </row>
    <row r="9" spans="1:12">
      <c r="A9" s="500"/>
      <c r="B9" s="366" t="s">
        <v>189</v>
      </c>
      <c r="C9" s="180" t="str">
        <f t="shared" si="2"/>
        <v>Newscorp</v>
      </c>
      <c r="D9" s="180">
        <v>0</v>
      </c>
      <c r="E9" s="180">
        <v>0</v>
      </c>
      <c r="F9" s="181">
        <v>0</v>
      </c>
      <c r="G9" s="181">
        <v>0</v>
      </c>
      <c r="H9" s="367">
        <f>SUM(G9*0.9)</f>
        <v>0</v>
      </c>
      <c r="L9" s="145"/>
    </row>
    <row r="10" spans="1:12" ht="16" thickBot="1">
      <c r="A10" s="501"/>
      <c r="B10" s="354" t="s">
        <v>103</v>
      </c>
      <c r="C10" s="188" t="str">
        <f t="shared" si="2"/>
        <v>BOFB</v>
      </c>
      <c r="D10" s="188">
        <v>0</v>
      </c>
      <c r="E10" s="188">
        <v>0</v>
      </c>
      <c r="F10" s="189">
        <v>0</v>
      </c>
      <c r="G10" s="189">
        <v>0</v>
      </c>
      <c r="H10" s="355">
        <f t="shared" si="0"/>
        <v>0</v>
      </c>
      <c r="L10" s="145"/>
    </row>
    <row r="11" spans="1:12">
      <c r="A11" s="499" t="s">
        <v>90</v>
      </c>
      <c r="B11" s="356" t="s">
        <v>85</v>
      </c>
      <c r="C11" s="165" t="str">
        <f t="shared" ref="C11:C13" si="3">B11</f>
        <v>LEBA</v>
      </c>
      <c r="D11" s="165">
        <v>0</v>
      </c>
      <c r="E11" s="165">
        <v>0</v>
      </c>
      <c r="F11" s="166">
        <v>0</v>
      </c>
      <c r="G11" s="166">
        <v>0</v>
      </c>
      <c r="H11" s="350">
        <f t="shared" si="0"/>
        <v>0</v>
      </c>
      <c r="L11" s="145"/>
    </row>
    <row r="12" spans="1:12">
      <c r="A12" s="500"/>
      <c r="B12" s="362" t="s">
        <v>91</v>
      </c>
      <c r="C12" s="363" t="s">
        <v>91</v>
      </c>
      <c r="D12" s="363">
        <v>0</v>
      </c>
      <c r="E12" s="363">
        <v>0</v>
      </c>
      <c r="F12" s="364">
        <v>0</v>
      </c>
      <c r="G12" s="364">
        <v>0</v>
      </c>
      <c r="H12" s="365">
        <v>0</v>
      </c>
      <c r="L12" s="145"/>
    </row>
    <row r="13" spans="1:12" ht="16" thickBot="1">
      <c r="A13" s="501"/>
      <c r="B13" s="354" t="s">
        <v>91</v>
      </c>
      <c r="C13" s="188" t="str">
        <f t="shared" si="3"/>
        <v>xxx</v>
      </c>
      <c r="D13" s="188">
        <v>0</v>
      </c>
      <c r="E13" s="188">
        <v>0</v>
      </c>
      <c r="F13" s="189">
        <v>0</v>
      </c>
      <c r="G13" s="189">
        <v>0</v>
      </c>
      <c r="H13" s="355">
        <f t="shared" si="0"/>
        <v>0</v>
      </c>
      <c r="L13" s="145"/>
    </row>
    <row r="14" spans="1:12" ht="16" thickBot="1">
      <c r="B14" s="318"/>
      <c r="H14" s="319"/>
      <c r="L14" s="145"/>
    </row>
    <row r="15" spans="1:12">
      <c r="B15" s="318"/>
      <c r="E15" s="141" t="s">
        <v>169</v>
      </c>
      <c r="F15" s="357">
        <f>SUM(F3:F13)</f>
        <v>0</v>
      </c>
      <c r="G15" s="358">
        <f>SUM(G3:G13)</f>
        <v>0</v>
      </c>
      <c r="H15" s="319"/>
      <c r="L15" s="145"/>
    </row>
    <row r="16" spans="1:12" ht="16" thickBot="1">
      <c r="B16" s="318"/>
      <c r="E16" s="146" t="s">
        <v>170</v>
      </c>
      <c r="F16" s="359">
        <f>SUM(F15*0.9)</f>
        <v>0</v>
      </c>
      <c r="G16" s="360">
        <f>SUM(G15*0.9)</f>
        <v>0</v>
      </c>
      <c r="H16" s="319"/>
      <c r="L16" s="145"/>
    </row>
    <row r="17" spans="2:12">
      <c r="B17" s="318"/>
      <c r="F17" s="361"/>
      <c r="G17" s="361"/>
      <c r="H17" s="319"/>
      <c r="L17" s="145"/>
    </row>
    <row r="18" spans="2:12" ht="16" thickBot="1">
      <c r="F18" s="150" t="s">
        <v>78</v>
      </c>
      <c r="G18" s="319"/>
    </row>
    <row r="19" spans="2:12">
      <c r="F19" s="141" t="s">
        <v>169</v>
      </c>
      <c r="G19" s="350">
        <f>SUM(F11:F13)</f>
        <v>0</v>
      </c>
      <c r="I19" s="145"/>
    </row>
    <row r="20" spans="2:12" ht="16" thickBot="1">
      <c r="F20" s="146" t="s">
        <v>170</v>
      </c>
      <c r="G20" s="355">
        <f>G19*0.9</f>
        <v>0</v>
      </c>
      <c r="I20" s="145"/>
    </row>
    <row r="21" spans="2:12">
      <c r="I21" s="145"/>
    </row>
    <row r="22" spans="2:12" ht="16" thickBot="1">
      <c r="F22" s="150" t="s">
        <v>172</v>
      </c>
      <c r="I22" s="145"/>
    </row>
    <row r="23" spans="2:12">
      <c r="F23" s="141" t="s">
        <v>169</v>
      </c>
      <c r="G23" s="350">
        <f>SUM(F6:F10)</f>
        <v>0</v>
      </c>
      <c r="I23" s="145"/>
    </row>
    <row r="24" spans="2:12" ht="16" thickBot="1">
      <c r="F24" s="146" t="s">
        <v>170</v>
      </c>
      <c r="G24" s="355">
        <f>G23*0.9</f>
        <v>0</v>
      </c>
    </row>
  </sheetData>
  <mergeCells count="4">
    <mergeCell ref="A3:A5"/>
    <mergeCell ref="A6:A10"/>
    <mergeCell ref="A11:A13"/>
    <mergeCell ref="B2:C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7AA2-4558-40DB-AEAF-E3CAD965E025}">
  <sheetPr>
    <tabColor theme="1"/>
    <pageSetUpPr fitToPage="1"/>
  </sheetPr>
  <dimension ref="B1:K57"/>
  <sheetViews>
    <sheetView showGridLines="0" zoomScale="85" zoomScaleNormal="85" zoomScaleSheetLayoutView="55" workbookViewId="0">
      <selection activeCell="C14" sqref="C14"/>
    </sheetView>
  </sheetViews>
  <sheetFormatPr defaultColWidth="9.08203125" defaultRowHeight="14"/>
  <cols>
    <col min="1" max="2" width="5.5" style="1" customWidth="1"/>
    <col min="3" max="3" width="23.5" style="1" customWidth="1"/>
    <col min="4" max="4" width="34.75" style="1" bestFit="1" customWidth="1"/>
    <col min="5" max="5" width="48.08203125" style="1" bestFit="1" customWidth="1"/>
    <col min="6" max="6" width="41.75" style="1" bestFit="1" customWidth="1"/>
    <col min="7" max="7" width="5.5" style="1" customWidth="1"/>
    <col min="8" max="16384" width="9.08203125" style="1"/>
  </cols>
  <sheetData>
    <row r="1" spans="2:11" ht="14.5" thickBot="1"/>
    <row r="2" spans="2:11" ht="22.5" customHeight="1">
      <c r="B2" s="5"/>
      <c r="C2" s="6"/>
      <c r="D2" s="6"/>
      <c r="E2" s="6"/>
      <c r="F2" s="6"/>
      <c r="G2" s="7"/>
    </row>
    <row r="3" spans="2:11" ht="22.5" customHeight="1">
      <c r="B3" s="10"/>
      <c r="G3" s="11"/>
    </row>
    <row r="4" spans="2:11" ht="22.5" customHeight="1">
      <c r="B4" s="10"/>
      <c r="G4" s="11"/>
    </row>
    <row r="5" spans="2:11" s="3" customFormat="1" ht="22.5" customHeight="1">
      <c r="B5" s="12"/>
      <c r="G5" s="13"/>
    </row>
    <row r="6" spans="2:11" ht="22.5" customHeight="1" thickBot="1">
      <c r="B6" s="8"/>
      <c r="G6" s="14"/>
    </row>
    <row r="7" spans="2:11" ht="20">
      <c r="B7" s="8"/>
      <c r="C7" s="93" t="s">
        <v>80</v>
      </c>
      <c r="D7" s="96" t="s">
        <v>118</v>
      </c>
      <c r="E7" s="108" t="s">
        <v>137</v>
      </c>
      <c r="F7" s="109">
        <v>0</v>
      </c>
      <c r="G7" s="9"/>
    </row>
    <row r="8" spans="2:11" ht="20">
      <c r="B8" s="8"/>
      <c r="C8" s="97" t="s">
        <v>81</v>
      </c>
      <c r="D8" s="105" t="s">
        <v>14</v>
      </c>
      <c r="E8" s="110" t="s">
        <v>138</v>
      </c>
      <c r="F8" s="111">
        <f>'Radio Data'!F15</f>
        <v>0</v>
      </c>
      <c r="G8" s="9"/>
    </row>
    <row r="9" spans="2:11" ht="20">
      <c r="B9" s="8"/>
      <c r="C9" s="97" t="s">
        <v>1</v>
      </c>
      <c r="D9" s="118" t="s">
        <v>14</v>
      </c>
      <c r="E9" s="97" t="s">
        <v>139</v>
      </c>
      <c r="F9" s="117">
        <f>SUM(F7-F8)</f>
        <v>0</v>
      </c>
      <c r="G9" s="9"/>
    </row>
    <row r="10" spans="2:11" ht="20.5" thickBot="1">
      <c r="B10" s="8"/>
      <c r="C10" s="106" t="s">
        <v>82</v>
      </c>
      <c r="D10" s="119" t="s">
        <v>14</v>
      </c>
      <c r="E10" s="101" t="s">
        <v>140</v>
      </c>
      <c r="F10" s="113">
        <f>SUM(F32)</f>
        <v>0</v>
      </c>
      <c r="G10" s="9"/>
    </row>
    <row r="11" spans="2:11">
      <c r="B11" s="8"/>
      <c r="C11"/>
      <c r="D11"/>
      <c r="G11" s="9"/>
    </row>
    <row r="12" spans="2:11" ht="35">
      <c r="B12" s="26"/>
      <c r="C12" s="495" t="s">
        <v>129</v>
      </c>
      <c r="D12" s="496"/>
      <c r="E12" s="496"/>
      <c r="F12" s="496"/>
      <c r="G12" s="29"/>
    </row>
    <row r="13" spans="2:11" ht="14.5" thickBot="1">
      <c r="B13" s="26"/>
      <c r="C13" s="37"/>
      <c r="D13" s="37"/>
      <c r="E13" s="37"/>
      <c r="F13" s="37"/>
      <c r="G13" s="29"/>
    </row>
    <row r="14" spans="2:11" ht="20.5" thickBot="1">
      <c r="B14" s="26"/>
      <c r="D14" s="38" t="s">
        <v>132</v>
      </c>
      <c r="E14" s="38" t="s">
        <v>133</v>
      </c>
      <c r="F14" s="38" t="s">
        <v>154</v>
      </c>
      <c r="G14" s="29"/>
      <c r="K14"/>
    </row>
    <row r="15" spans="2:11" ht="133.5" customHeight="1" thickBot="1">
      <c r="B15" s="26"/>
      <c r="C15" s="344" t="s">
        <v>134</v>
      </c>
      <c r="D15" s="223" t="s">
        <v>167</v>
      </c>
      <c r="E15" s="224" t="s">
        <v>167</v>
      </c>
      <c r="F15" s="225" t="s">
        <v>167</v>
      </c>
      <c r="G15" s="29"/>
    </row>
    <row r="16" spans="2:11" ht="133.5" customHeight="1" thickBot="1">
      <c r="B16" s="26"/>
      <c r="C16" s="345" t="s">
        <v>135</v>
      </c>
      <c r="D16" s="226" t="s">
        <v>167</v>
      </c>
      <c r="E16" s="227" t="s">
        <v>167</v>
      </c>
      <c r="F16" s="228" t="s">
        <v>167</v>
      </c>
      <c r="G16" s="29"/>
    </row>
    <row r="17" spans="2:7">
      <c r="B17" s="8"/>
      <c r="G17" s="9"/>
    </row>
    <row r="18" spans="2:7" ht="35">
      <c r="B18" s="8"/>
      <c r="C18" s="494" t="s">
        <v>92</v>
      </c>
      <c r="D18" s="488"/>
      <c r="E18" s="488"/>
      <c r="F18" s="488"/>
      <c r="G18" s="9"/>
    </row>
    <row r="19" spans="2:7">
      <c r="B19" s="8"/>
      <c r="G19" s="9"/>
    </row>
    <row r="20" spans="2:7" ht="14.5" thickBot="1">
      <c r="B20" s="8"/>
      <c r="G20" s="9"/>
    </row>
    <row r="21" spans="2:7" ht="20.5" thickBot="1">
      <c r="B21" s="8"/>
      <c r="C21" s="285" t="s">
        <v>62</v>
      </c>
      <c r="D21" s="297" t="s">
        <v>96</v>
      </c>
      <c r="E21" s="297" t="s">
        <v>95</v>
      </c>
      <c r="F21" s="298" t="s">
        <v>144</v>
      </c>
      <c r="G21" s="9"/>
    </row>
    <row r="22" spans="2:7" ht="20">
      <c r="B22" s="8"/>
      <c r="C22" s="289" t="str">
        <f>'Radio Data'!C3</f>
        <v>SCA</v>
      </c>
      <c r="D22" s="290">
        <f>'Radio Data'!D3</f>
        <v>0</v>
      </c>
      <c r="E22" s="290">
        <f>'Radio Data'!E3</f>
        <v>0</v>
      </c>
      <c r="F22" s="291" cm="1">
        <f t="array" ref="F22">'Radio Data'!H3:H3</f>
        <v>0</v>
      </c>
      <c r="G22" s="42"/>
    </row>
    <row r="23" spans="2:7" ht="20">
      <c r="B23" s="8"/>
      <c r="C23" s="46" t="str">
        <f>'Radio Data'!C4</f>
        <v>NOVA</v>
      </c>
      <c r="D23" s="292">
        <f>'Radio Data'!D4</f>
        <v>0</v>
      </c>
      <c r="E23" s="292">
        <f>'Radio Data'!E4</f>
        <v>0</v>
      </c>
      <c r="F23" s="293" cm="1">
        <f t="array" ref="F23">'Radio Data'!H4:H4</f>
        <v>0</v>
      </c>
      <c r="G23" s="42"/>
    </row>
    <row r="24" spans="2:7" ht="20">
      <c r="B24" s="8"/>
      <c r="C24" s="46" t="str">
        <f>'Radio Data'!C5</f>
        <v>ARN</v>
      </c>
      <c r="D24" s="292">
        <f>'Radio Data'!D5</f>
        <v>0</v>
      </c>
      <c r="E24" s="292">
        <f>'Radio Data'!E5</f>
        <v>0</v>
      </c>
      <c r="F24" s="293" cm="1">
        <f t="array" ref="F24">'Radio Data'!H5:H5</f>
        <v>0</v>
      </c>
      <c r="G24" s="42"/>
    </row>
    <row r="25" spans="2:7" ht="20">
      <c r="B25" s="8"/>
      <c r="C25" s="46" t="str">
        <f>'Radio Data'!C6</f>
        <v>Nine</v>
      </c>
      <c r="D25" s="292">
        <f>'Radio Data'!D6</f>
        <v>0</v>
      </c>
      <c r="E25" s="292">
        <f>'Radio Data'!E6</f>
        <v>0</v>
      </c>
      <c r="F25" s="293" cm="1">
        <f t="array" ref="F25">'Radio Data'!H6:H6</f>
        <v>0</v>
      </c>
      <c r="G25" s="42"/>
    </row>
    <row r="26" spans="2:7" ht="20">
      <c r="B26" s="8"/>
      <c r="C26" s="46" t="str">
        <f>'Radio Data'!C7</f>
        <v>ATN</v>
      </c>
      <c r="D26" s="292">
        <f>'Radio Data'!D7</f>
        <v>0</v>
      </c>
      <c r="E26" s="292">
        <f>'Radio Data'!E7</f>
        <v>0</v>
      </c>
      <c r="F26" s="293" cm="1">
        <f t="array" ref="F26">'Radio Data'!H7:H7</f>
        <v>0</v>
      </c>
      <c r="G26" s="42"/>
    </row>
    <row r="27" spans="2:7" ht="20">
      <c r="B27" s="8"/>
      <c r="C27" s="46" t="str">
        <f>'Radio Data'!C8</f>
        <v>SCA</v>
      </c>
      <c r="D27" s="292">
        <f>'Radio Data'!D8</f>
        <v>0</v>
      </c>
      <c r="E27" s="292">
        <f>'Radio Data'!E8</f>
        <v>0</v>
      </c>
      <c r="F27" s="293" cm="1">
        <f t="array" ref="F27">'Radio Data'!H8:H8</f>
        <v>0</v>
      </c>
      <c r="G27" s="42"/>
    </row>
    <row r="28" spans="2:7" ht="20">
      <c r="B28" s="8"/>
      <c r="C28" s="46" t="str">
        <f>'Radio Data'!C9</f>
        <v>TRSN</v>
      </c>
      <c r="D28" s="292">
        <f>'Radio Data'!D9</f>
        <v>0</v>
      </c>
      <c r="E28" s="292">
        <f>'Radio Data'!E9</f>
        <v>0</v>
      </c>
      <c r="F28" s="293" cm="1">
        <f t="array" ref="F28">'Radio Data'!H9:H9</f>
        <v>0</v>
      </c>
      <c r="G28" s="42"/>
    </row>
    <row r="29" spans="2:7" ht="20">
      <c r="B29" s="8"/>
      <c r="C29" s="46" t="str">
        <f>'Radio Data'!C10</f>
        <v>ATN</v>
      </c>
      <c r="D29" s="292">
        <f>'Radio Data'!D10</f>
        <v>0</v>
      </c>
      <c r="E29" s="292">
        <f>'Radio Data'!E10</f>
        <v>0</v>
      </c>
      <c r="F29" s="293" cm="1">
        <f t="array" ref="F29">'Radio Data'!H10:H10</f>
        <v>0</v>
      </c>
      <c r="G29" s="42"/>
    </row>
    <row r="30" spans="2:7" ht="20">
      <c r="B30" s="8"/>
      <c r="C30" s="46" t="str">
        <f>'Radio Data'!C11</f>
        <v>LEBA</v>
      </c>
      <c r="D30" s="292">
        <f>'Radio Data'!D11</f>
        <v>0</v>
      </c>
      <c r="E30" s="292">
        <f>'Radio Data'!E11</f>
        <v>0</v>
      </c>
      <c r="F30" s="293" cm="1">
        <f t="array" ref="F30">'Radio Data'!H11:H11</f>
        <v>0</v>
      </c>
      <c r="G30" s="42"/>
    </row>
    <row r="31" spans="2:7" ht="20.5" thickBot="1">
      <c r="B31" s="8"/>
      <c r="C31" s="294" t="str">
        <f>'Radio Data'!C12</f>
        <v>SBS</v>
      </c>
      <c r="D31" s="295">
        <f>'Radio Data'!D12</f>
        <v>0</v>
      </c>
      <c r="E31" s="295">
        <f>'Radio Data'!E12</f>
        <v>0</v>
      </c>
      <c r="F31" s="296" cm="1">
        <f t="array" ref="F31">'Radio Data'!H12:H12</f>
        <v>0</v>
      </c>
      <c r="G31" s="42"/>
    </row>
    <row r="32" spans="2:7" ht="20.5" thickBot="1">
      <c r="B32" s="8"/>
      <c r="C32" s="285" t="s">
        <v>72</v>
      </c>
      <c r="D32" s="286">
        <f>SUM(D22:D31)</f>
        <v>0</v>
      </c>
      <c r="E32" s="287">
        <f>SUM(E22)</f>
        <v>0</v>
      </c>
      <c r="F32" s="288">
        <f>'Radio Data'!G15</f>
        <v>0</v>
      </c>
      <c r="G32" s="9"/>
    </row>
    <row r="33" spans="2:7">
      <c r="B33" s="8"/>
      <c r="G33" s="9"/>
    </row>
    <row r="34" spans="2:7">
      <c r="B34" s="8"/>
      <c r="G34" s="9"/>
    </row>
    <row r="35" spans="2:7">
      <c r="B35" s="8"/>
      <c r="G35" s="9"/>
    </row>
    <row r="36" spans="2:7">
      <c r="B36" s="8"/>
      <c r="G36" s="9"/>
    </row>
    <row r="37" spans="2:7">
      <c r="B37" s="8"/>
      <c r="G37" s="9"/>
    </row>
    <row r="38" spans="2:7">
      <c r="B38" s="8"/>
      <c r="G38" s="9"/>
    </row>
    <row r="39" spans="2:7">
      <c r="B39" s="8"/>
      <c r="G39" s="9"/>
    </row>
    <row r="40" spans="2:7">
      <c r="B40" s="8"/>
      <c r="G40" s="9"/>
    </row>
    <row r="41" spans="2:7">
      <c r="B41" s="8"/>
      <c r="G41" s="9"/>
    </row>
    <row r="42" spans="2:7">
      <c r="B42" s="8"/>
      <c r="G42" s="9"/>
    </row>
    <row r="43" spans="2:7">
      <c r="B43" s="8"/>
      <c r="G43" s="9"/>
    </row>
    <row r="44" spans="2:7">
      <c r="B44" s="8"/>
      <c r="G44" s="9"/>
    </row>
    <row r="45" spans="2:7">
      <c r="B45" s="8"/>
      <c r="G45" s="9"/>
    </row>
    <row r="46" spans="2:7">
      <c r="B46" s="8"/>
      <c r="G46" s="9"/>
    </row>
    <row r="47" spans="2:7">
      <c r="B47" s="8"/>
      <c r="G47" s="9"/>
    </row>
    <row r="48" spans="2:7">
      <c r="B48" s="8"/>
      <c r="G48" s="9"/>
    </row>
    <row r="49" spans="2:7">
      <c r="B49" s="8"/>
      <c r="G49" s="9"/>
    </row>
    <row r="50" spans="2:7">
      <c r="B50" s="8"/>
      <c r="G50" s="9"/>
    </row>
    <row r="51" spans="2:7">
      <c r="B51" s="8"/>
      <c r="G51" s="9"/>
    </row>
    <row r="52" spans="2:7">
      <c r="B52" s="8"/>
      <c r="G52" s="9"/>
    </row>
    <row r="53" spans="2:7">
      <c r="B53" s="8"/>
      <c r="G53" s="9"/>
    </row>
    <row r="54" spans="2:7">
      <c r="B54" s="8"/>
      <c r="G54" s="9"/>
    </row>
    <row r="55" spans="2:7">
      <c r="B55" s="8"/>
      <c r="G55" s="9"/>
    </row>
    <row r="56" spans="2:7">
      <c r="B56" s="8"/>
      <c r="G56" s="9"/>
    </row>
    <row r="57" spans="2:7" ht="14.5" thickBot="1">
      <c r="B57" s="16"/>
      <c r="C57" s="17"/>
      <c r="D57" s="17"/>
      <c r="E57" s="17"/>
      <c r="F57" s="17"/>
      <c r="G57" s="18"/>
    </row>
  </sheetData>
  <mergeCells count="2">
    <mergeCell ref="C18:F18"/>
    <mergeCell ref="C12:F12"/>
  </mergeCells>
  <printOptions verticalCentered="1"/>
  <pageMargins left="7.874015748031496E-2" right="7.874015748031496E-2" top="7.874015748031496E-2" bottom="7.874015748031496E-2" header="3.937007874015748E-2" footer="3.937007874015748E-2"/>
  <pageSetup paperSize="8" scale="58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B577A-3BF6-4F4C-B443-DF9DEE75AF32}">
  <dimension ref="A1:L23"/>
  <sheetViews>
    <sheetView showGridLines="0" tabSelected="1" zoomScale="175" zoomScaleNormal="175" workbookViewId="0">
      <selection activeCell="E3" sqref="E3"/>
    </sheetView>
  </sheetViews>
  <sheetFormatPr defaultColWidth="8.83203125" defaultRowHeight="15.5"/>
  <cols>
    <col min="1" max="1" width="18.33203125" style="124" bestFit="1" customWidth="1"/>
    <col min="2" max="2" width="9.08203125" style="124" bestFit="1" customWidth="1"/>
    <col min="3" max="3" width="19.83203125" style="124" bestFit="1" customWidth="1"/>
    <col min="4" max="4" width="14.83203125" style="124" bestFit="1" customWidth="1"/>
    <col min="5" max="5" width="16.33203125" style="124" bestFit="1" customWidth="1"/>
    <col min="6" max="6" width="16.08203125" style="124" bestFit="1" customWidth="1"/>
    <col min="7" max="7" width="15.08203125" style="124" bestFit="1" customWidth="1"/>
    <col min="8" max="8" width="13.25" style="124" bestFit="1" customWidth="1"/>
    <col min="9" max="9" width="21.58203125" style="124" customWidth="1"/>
    <col min="10" max="10" width="19" style="124" customWidth="1"/>
    <col min="11" max="16384" width="8.83203125" style="124"/>
  </cols>
  <sheetData>
    <row r="1" spans="1:12" ht="16" thickBot="1">
      <c r="C1" s="270"/>
      <c r="D1" s="270"/>
      <c r="E1" s="270"/>
      <c r="H1" s="125"/>
    </row>
    <row r="2" spans="1:12" ht="16" thickBot="1">
      <c r="A2" s="270"/>
      <c r="B2" s="305" t="s">
        <v>30</v>
      </c>
      <c r="C2" s="237" t="s">
        <v>88</v>
      </c>
      <c r="D2" s="237" t="s">
        <v>96</v>
      </c>
      <c r="E2" s="126" t="s">
        <v>95</v>
      </c>
      <c r="F2" s="159" t="s">
        <v>93</v>
      </c>
      <c r="G2" s="156" t="s">
        <v>94</v>
      </c>
      <c r="H2" s="157" t="s">
        <v>143</v>
      </c>
    </row>
    <row r="3" spans="1:12">
      <c r="A3" s="504" t="s">
        <v>87</v>
      </c>
      <c r="B3" s="306" t="s">
        <v>32</v>
      </c>
      <c r="C3" s="124" t="str">
        <f>B3</f>
        <v>SCA</v>
      </c>
      <c r="D3" s="195">
        <v>0</v>
      </c>
      <c r="E3" s="195">
        <v>0</v>
      </c>
      <c r="F3" s="307">
        <v>0</v>
      </c>
      <c r="G3" s="241">
        <v>0</v>
      </c>
      <c r="H3" s="308">
        <f>SUM(G3*0.9)</f>
        <v>0</v>
      </c>
    </row>
    <row r="4" spans="1:12">
      <c r="A4" s="506"/>
      <c r="B4" s="309" t="s">
        <v>83</v>
      </c>
      <c r="C4" s="243" t="str">
        <f t="shared" ref="C4:C12" si="0">B4</f>
        <v>NOVA</v>
      </c>
      <c r="D4" s="172">
        <v>0</v>
      </c>
      <c r="E4" s="172">
        <v>0</v>
      </c>
      <c r="F4" s="246">
        <v>0</v>
      </c>
      <c r="G4" s="310">
        <v>0</v>
      </c>
      <c r="H4" s="311">
        <f t="shared" ref="H4:H12" si="1">SUM(G4*0.9)</f>
        <v>0</v>
      </c>
    </row>
    <row r="5" spans="1:12">
      <c r="A5" s="506"/>
      <c r="B5" s="309" t="s">
        <v>84</v>
      </c>
      <c r="C5" s="243" t="str">
        <f t="shared" si="0"/>
        <v>ARN</v>
      </c>
      <c r="D5" s="172">
        <v>0</v>
      </c>
      <c r="E5" s="172">
        <v>0</v>
      </c>
      <c r="F5" s="246">
        <v>0</v>
      </c>
      <c r="G5" s="310">
        <v>0</v>
      </c>
      <c r="H5" s="311">
        <f t="shared" si="1"/>
        <v>0</v>
      </c>
    </row>
    <row r="6" spans="1:12">
      <c r="A6" s="506"/>
      <c r="B6" s="309" t="s">
        <v>35</v>
      </c>
      <c r="C6" s="243" t="str">
        <f t="shared" si="0"/>
        <v>Nine</v>
      </c>
      <c r="D6" s="172">
        <v>0</v>
      </c>
      <c r="E6" s="172">
        <v>0</v>
      </c>
      <c r="F6" s="246">
        <v>0</v>
      </c>
      <c r="G6" s="310">
        <v>0</v>
      </c>
      <c r="H6" s="311">
        <f t="shared" si="1"/>
        <v>0</v>
      </c>
    </row>
    <row r="7" spans="1:12" ht="16" thickBot="1">
      <c r="A7" s="505"/>
      <c r="B7" s="312" t="s">
        <v>173</v>
      </c>
      <c r="C7" s="248" t="str">
        <f t="shared" si="0"/>
        <v>ATN</v>
      </c>
      <c r="D7" s="188">
        <v>0</v>
      </c>
      <c r="E7" s="188">
        <v>0</v>
      </c>
      <c r="F7" s="251">
        <v>0</v>
      </c>
      <c r="G7" s="265">
        <v>0</v>
      </c>
      <c r="H7" s="313">
        <f t="shared" si="1"/>
        <v>0</v>
      </c>
    </row>
    <row r="8" spans="1:12">
      <c r="A8" s="504" t="s">
        <v>89</v>
      </c>
      <c r="B8" s="306" t="s">
        <v>32</v>
      </c>
      <c r="C8" s="239" t="str">
        <f t="shared" si="0"/>
        <v>SCA</v>
      </c>
      <c r="D8" s="165">
        <v>0</v>
      </c>
      <c r="E8" s="165">
        <v>0</v>
      </c>
      <c r="F8" s="254">
        <v>0</v>
      </c>
      <c r="G8" s="314">
        <v>0</v>
      </c>
      <c r="H8" s="308">
        <f t="shared" si="1"/>
        <v>0</v>
      </c>
    </row>
    <row r="9" spans="1:12">
      <c r="A9" s="506"/>
      <c r="B9" s="315" t="s">
        <v>86</v>
      </c>
      <c r="C9" s="243" t="str">
        <f t="shared" si="0"/>
        <v>TRSN</v>
      </c>
      <c r="D9" s="172">
        <v>0</v>
      </c>
      <c r="E9" s="172">
        <v>0</v>
      </c>
      <c r="F9" s="246">
        <v>0</v>
      </c>
      <c r="G9" s="310">
        <v>0</v>
      </c>
      <c r="H9" s="311">
        <f t="shared" si="1"/>
        <v>0</v>
      </c>
      <c r="L9" s="145"/>
    </row>
    <row r="10" spans="1:12" ht="16" thickBot="1">
      <c r="A10" s="505"/>
      <c r="B10" s="316" t="s">
        <v>173</v>
      </c>
      <c r="C10" s="248" t="str">
        <f t="shared" si="0"/>
        <v>ATN</v>
      </c>
      <c r="D10" s="188">
        <v>0</v>
      </c>
      <c r="E10" s="188">
        <v>0</v>
      </c>
      <c r="F10" s="251">
        <v>0</v>
      </c>
      <c r="G10" s="265">
        <v>0</v>
      </c>
      <c r="H10" s="313">
        <f t="shared" si="1"/>
        <v>0</v>
      </c>
      <c r="L10" s="145"/>
    </row>
    <row r="11" spans="1:12">
      <c r="A11" s="504" t="s">
        <v>90</v>
      </c>
      <c r="B11" s="317" t="s">
        <v>85</v>
      </c>
      <c r="C11" s="262" t="str">
        <f t="shared" si="0"/>
        <v>LEBA</v>
      </c>
      <c r="D11" s="165">
        <v>0</v>
      </c>
      <c r="E11" s="165">
        <v>0</v>
      </c>
      <c r="F11" s="307">
        <v>0</v>
      </c>
      <c r="G11" s="241">
        <v>0</v>
      </c>
      <c r="H11" s="308">
        <f t="shared" si="1"/>
        <v>0</v>
      </c>
      <c r="L11" s="145"/>
    </row>
    <row r="12" spans="1:12" ht="16" thickBot="1">
      <c r="A12" s="505"/>
      <c r="B12" s="316" t="s">
        <v>33</v>
      </c>
      <c r="C12" s="248" t="str">
        <f t="shared" si="0"/>
        <v>SBS</v>
      </c>
      <c r="D12" s="188">
        <v>0</v>
      </c>
      <c r="E12" s="188">
        <v>0</v>
      </c>
      <c r="F12" s="251">
        <v>0</v>
      </c>
      <c r="G12" s="265">
        <v>0</v>
      </c>
      <c r="H12" s="313">
        <f t="shared" si="1"/>
        <v>0</v>
      </c>
      <c r="L12" s="145"/>
    </row>
    <row r="13" spans="1:12" ht="16" thickBot="1">
      <c r="B13" s="318"/>
      <c r="E13" s="270"/>
      <c r="F13" s="270"/>
      <c r="G13" s="270"/>
      <c r="H13" s="319"/>
      <c r="L13" s="145"/>
    </row>
    <row r="14" spans="1:12" ht="16" thickBot="1">
      <c r="E14" s="163" t="s">
        <v>169</v>
      </c>
      <c r="F14" s="151">
        <f>SUM(F3:F12)</f>
        <v>0</v>
      </c>
      <c r="G14" s="152">
        <f>SUM(G3:G12)</f>
        <v>0</v>
      </c>
    </row>
    <row r="15" spans="1:12" ht="16" thickBot="1">
      <c r="E15" s="163" t="s">
        <v>170</v>
      </c>
      <c r="F15" s="153">
        <f>SUM(F14*0.9)</f>
        <v>0</v>
      </c>
      <c r="G15" s="154">
        <f>SUM(G14*0.9)</f>
        <v>0</v>
      </c>
    </row>
    <row r="16" spans="1:12">
      <c r="C16" s="149"/>
      <c r="D16" s="149"/>
      <c r="E16" s="149"/>
    </row>
    <row r="17" spans="5:9" ht="16" thickBot="1">
      <c r="E17" s="150" t="s">
        <v>78</v>
      </c>
    </row>
    <row r="18" spans="5:9" ht="16" thickBot="1">
      <c r="E18" s="163" t="s">
        <v>169</v>
      </c>
      <c r="F18" s="152">
        <f>SUM(F11:F12)</f>
        <v>0</v>
      </c>
      <c r="I18" s="145"/>
    </row>
    <row r="19" spans="5:9" ht="16" thickBot="1">
      <c r="E19" s="163" t="s">
        <v>170</v>
      </c>
      <c r="F19" s="154">
        <f>SUM(F18*0.9)</f>
        <v>0</v>
      </c>
      <c r="I19" s="145"/>
    </row>
    <row r="20" spans="5:9">
      <c r="I20" s="145"/>
    </row>
    <row r="21" spans="5:9" ht="16" thickBot="1">
      <c r="E21" s="150" t="s">
        <v>172</v>
      </c>
      <c r="I21" s="145"/>
    </row>
    <row r="22" spans="5:9" ht="16" thickBot="1">
      <c r="E22" s="163" t="s">
        <v>169</v>
      </c>
      <c r="F22" s="152">
        <f>SUM(F8:F10)</f>
        <v>0</v>
      </c>
      <c r="G22" s="145"/>
      <c r="I22" s="145"/>
    </row>
    <row r="23" spans="5:9" ht="16" thickBot="1">
      <c r="E23" s="163" t="s">
        <v>170</v>
      </c>
      <c r="F23" s="154">
        <f>SUM(F22*0.9)</f>
        <v>0</v>
      </c>
    </row>
  </sheetData>
  <mergeCells count="3">
    <mergeCell ref="A11:A12"/>
    <mergeCell ref="A8:A10"/>
    <mergeCell ref="A3:A7"/>
  </mergeCells>
  <pageMargins left="0.7" right="0.7" top="0.75" bottom="0.75" header="0.3" footer="0.3"/>
  <ignoredErrors>
    <ignoredError sqref="F18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2EEC-EC9D-437B-BA29-610D345719C9}">
  <sheetPr>
    <tabColor theme="1"/>
    <pageSetUpPr fitToPage="1"/>
  </sheetPr>
  <dimension ref="B1:K57"/>
  <sheetViews>
    <sheetView showGridLines="0" zoomScaleNormal="100" zoomScaleSheetLayoutView="55" workbookViewId="0">
      <selection activeCell="C10" sqref="C10"/>
    </sheetView>
  </sheetViews>
  <sheetFormatPr defaultColWidth="9.08203125" defaultRowHeight="14"/>
  <cols>
    <col min="1" max="2" width="4.75" style="1" customWidth="1"/>
    <col min="3" max="3" width="26.25" style="1" bestFit="1" customWidth="1"/>
    <col min="4" max="4" width="36" style="1" bestFit="1" customWidth="1"/>
    <col min="5" max="5" width="50.08203125" style="1" bestFit="1" customWidth="1"/>
    <col min="6" max="6" width="43.08203125" style="1" bestFit="1" customWidth="1"/>
    <col min="7" max="7" width="4.75" style="1" customWidth="1"/>
    <col min="8" max="16384" width="9.08203125" style="1"/>
  </cols>
  <sheetData>
    <row r="1" spans="2:11" ht="14.5" thickBot="1"/>
    <row r="2" spans="2:11">
      <c r="B2" s="5"/>
      <c r="C2" s="6"/>
      <c r="D2" s="6"/>
      <c r="E2" s="6"/>
      <c r="F2" s="6"/>
      <c r="G2" s="7"/>
    </row>
    <row r="3" spans="2:11">
      <c r="B3" s="8"/>
      <c r="G3" s="9"/>
    </row>
    <row r="4" spans="2:11" ht="32.5">
      <c r="B4" s="10"/>
      <c r="G4" s="11"/>
    </row>
    <row r="5" spans="2:11" s="3" customFormat="1" ht="23">
      <c r="B5" s="12"/>
      <c r="G5" s="13"/>
    </row>
    <row r="6" spans="2:11" ht="23.5" thickBot="1">
      <c r="B6" s="8"/>
      <c r="G6" s="14"/>
    </row>
    <row r="7" spans="2:11" ht="20">
      <c r="B7" s="8"/>
      <c r="C7" s="93" t="s">
        <v>80</v>
      </c>
      <c r="D7" s="96" t="s">
        <v>118</v>
      </c>
      <c r="E7" s="108" t="s">
        <v>137</v>
      </c>
      <c r="F7" s="109">
        <v>0</v>
      </c>
      <c r="G7" s="9"/>
    </row>
    <row r="8" spans="2:11" ht="20">
      <c r="B8" s="8"/>
      <c r="C8" s="97" t="s">
        <v>97</v>
      </c>
      <c r="D8" s="105" t="s">
        <v>14</v>
      </c>
      <c r="E8" s="110" t="s">
        <v>138</v>
      </c>
      <c r="F8" s="111">
        <f>'OOH Data'!F18</f>
        <v>0</v>
      </c>
      <c r="G8" s="9"/>
    </row>
    <row r="9" spans="2:11" ht="20.5" thickBot="1">
      <c r="B9" s="8"/>
      <c r="C9" s="106" t="s">
        <v>98</v>
      </c>
      <c r="D9" s="107" t="s">
        <v>14</v>
      </c>
      <c r="E9" s="97" t="s">
        <v>139</v>
      </c>
      <c r="F9" s="117">
        <f>SUM(F7-F8)</f>
        <v>0</v>
      </c>
      <c r="G9" s="9"/>
    </row>
    <row r="10" spans="2:11" ht="20.5" thickBot="1">
      <c r="B10" s="8"/>
      <c r="C10"/>
      <c r="D10"/>
      <c r="E10" s="101" t="s">
        <v>140</v>
      </c>
      <c r="F10" s="113">
        <f>'OOH Data'!G18</f>
        <v>0</v>
      </c>
      <c r="G10" s="9"/>
    </row>
    <row r="11" spans="2:11" s="3" customFormat="1">
      <c r="B11" s="12"/>
      <c r="G11" s="15"/>
    </row>
    <row r="12" spans="2:11" ht="35">
      <c r="B12" s="26"/>
      <c r="C12" s="495" t="s">
        <v>129</v>
      </c>
      <c r="D12" s="496"/>
      <c r="E12" s="496"/>
      <c r="F12" s="496"/>
      <c r="G12" s="29"/>
    </row>
    <row r="13" spans="2:11" ht="14.5" thickBot="1">
      <c r="B13" s="26"/>
      <c r="C13" s="37"/>
      <c r="D13" s="37"/>
      <c r="E13" s="37"/>
      <c r="F13" s="37"/>
      <c r="G13" s="29"/>
    </row>
    <row r="14" spans="2:11" ht="20.5" thickBot="1">
      <c r="B14" s="26"/>
      <c r="D14" s="38" t="s">
        <v>132</v>
      </c>
      <c r="E14" s="38" t="s">
        <v>133</v>
      </c>
      <c r="F14" s="38" t="s">
        <v>154</v>
      </c>
      <c r="G14" s="29"/>
      <c r="K14"/>
    </row>
    <row r="15" spans="2:11" ht="109.5" customHeight="1" thickBot="1">
      <c r="B15" s="26"/>
      <c r="C15" s="45" t="s">
        <v>134</v>
      </c>
      <c r="D15" s="299" t="s">
        <v>167</v>
      </c>
      <c r="E15" s="300" t="s">
        <v>167</v>
      </c>
      <c r="F15" s="301" t="s">
        <v>167</v>
      </c>
      <c r="G15" s="29"/>
    </row>
    <row r="16" spans="2:11" ht="109.5" customHeight="1" thickBot="1">
      <c r="B16" s="26"/>
      <c r="C16" s="38" t="s">
        <v>135</v>
      </c>
      <c r="D16" s="302" t="s">
        <v>167</v>
      </c>
      <c r="E16" s="303" t="s">
        <v>167</v>
      </c>
      <c r="F16" s="304" t="s">
        <v>167</v>
      </c>
      <c r="G16" s="29"/>
    </row>
    <row r="17" spans="2:7">
      <c r="B17" s="8"/>
      <c r="G17" s="9"/>
    </row>
    <row r="18" spans="2:7" ht="35">
      <c r="B18" s="8"/>
      <c r="C18" s="507" t="s">
        <v>92</v>
      </c>
      <c r="D18" s="508"/>
      <c r="E18" s="508"/>
      <c r="F18" s="508"/>
      <c r="G18" s="9"/>
    </row>
    <row r="19" spans="2:7" ht="14.5" thickBot="1">
      <c r="B19" s="8"/>
      <c r="G19" s="9"/>
    </row>
    <row r="20" spans="2:7" ht="20.5" thickBot="1">
      <c r="B20" s="8"/>
      <c r="C20" s="285" t="s">
        <v>62</v>
      </c>
      <c r="D20" s="297" t="s">
        <v>107</v>
      </c>
      <c r="E20" s="297" t="s">
        <v>108</v>
      </c>
      <c r="F20" s="298" t="s">
        <v>144</v>
      </c>
      <c r="G20" s="9"/>
    </row>
    <row r="21" spans="2:7" ht="20">
      <c r="B21" s="8"/>
      <c r="C21" s="289" t="str">
        <f>'OOH Data'!C3</f>
        <v>JCDecaux</v>
      </c>
      <c r="D21" s="290">
        <f>'OOH Data'!D3</f>
        <v>0</v>
      </c>
      <c r="E21" s="290">
        <f>'OOH Data'!E3</f>
        <v>0</v>
      </c>
      <c r="F21" s="291" cm="1">
        <f t="array" ref="F21">'OOH Data'!G3:G3*0.9</f>
        <v>0</v>
      </c>
      <c r="G21" s="42"/>
    </row>
    <row r="22" spans="2:7" ht="20">
      <c r="B22" s="8"/>
      <c r="C22" s="46" t="str">
        <f>'OOH Data'!C4</f>
        <v>oOh! Media</v>
      </c>
      <c r="D22" s="292">
        <f>'OOH Data'!D4</f>
        <v>0</v>
      </c>
      <c r="E22" s="292">
        <f>'OOH Data'!E4</f>
        <v>0</v>
      </c>
      <c r="F22" s="293" cm="1">
        <f t="array" ref="F22">'OOH Data'!G4:G4*0.9</f>
        <v>0</v>
      </c>
      <c r="G22" s="42"/>
    </row>
    <row r="23" spans="2:7" ht="20">
      <c r="B23" s="8"/>
      <c r="C23" s="46" t="str">
        <f>'OOH Data'!C5</f>
        <v>QMS</v>
      </c>
      <c r="D23" s="292">
        <f>'OOH Data'!D5</f>
        <v>0</v>
      </c>
      <c r="E23" s="292">
        <f>'OOH Data'!E5</f>
        <v>0</v>
      </c>
      <c r="F23" s="293" cm="1">
        <f t="array" ref="F23">'OOH Data'!G5:G5*0.9</f>
        <v>0</v>
      </c>
      <c r="G23" s="42"/>
    </row>
    <row r="24" spans="2:7" ht="20">
      <c r="B24" s="8"/>
      <c r="C24" s="46" t="str">
        <f>'OOH Data'!C6</f>
        <v>Cartology (Shopper)</v>
      </c>
      <c r="D24" s="292">
        <f>'OOH Data'!D6</f>
        <v>0</v>
      </c>
      <c r="E24" s="292">
        <f>'OOH Data'!E6</f>
        <v>0</v>
      </c>
      <c r="F24" s="293" cm="1">
        <f t="array" ref="F24">'OOH Data'!G6:G6*0.9</f>
        <v>0</v>
      </c>
      <c r="G24" s="42"/>
    </row>
    <row r="25" spans="2:7" ht="20">
      <c r="B25" s="8"/>
      <c r="C25" s="46" t="str">
        <f>'OOH Data'!C7</f>
        <v>Val Morgan Outdoor</v>
      </c>
      <c r="D25" s="292">
        <f>'OOH Data'!D7</f>
        <v>0</v>
      </c>
      <c r="E25" s="292">
        <f>'OOH Data'!E7</f>
        <v>0</v>
      </c>
      <c r="F25" s="293" cm="1">
        <f t="array" ref="F25">'OOH Data'!G7:G7*0.9</f>
        <v>0</v>
      </c>
      <c r="G25" s="42"/>
    </row>
    <row r="26" spans="2:7" ht="20">
      <c r="B26" s="8"/>
      <c r="C26" s="46" t="str">
        <f>'OOH Data'!C8</f>
        <v>The Media Shop</v>
      </c>
      <c r="D26" s="292">
        <f>'OOH Data'!D8</f>
        <v>0</v>
      </c>
      <c r="E26" s="292">
        <f>'OOH Data'!E8</f>
        <v>0</v>
      </c>
      <c r="F26" s="293" cm="1">
        <f t="array" ref="F26">'OOH Data'!G8:G8*0.9</f>
        <v>0</v>
      </c>
      <c r="G26" s="42"/>
    </row>
    <row r="27" spans="2:7" ht="20">
      <c r="B27" s="8"/>
      <c r="C27" s="46" t="str">
        <f>'OOH Data'!C9</f>
        <v>Cartology (Shopper)</v>
      </c>
      <c r="D27" s="292">
        <f>'OOH Data'!D9</f>
        <v>0</v>
      </c>
      <c r="E27" s="292">
        <f>'OOH Data'!E9</f>
        <v>0</v>
      </c>
      <c r="F27" s="293" cm="1">
        <f t="array" ref="F27">'OOH Data'!G9:G9*0.9</f>
        <v>0</v>
      </c>
      <c r="G27" s="42"/>
    </row>
    <row r="28" spans="2:7" ht="20">
      <c r="B28" s="8"/>
      <c r="C28" s="46" t="str">
        <f>'OOH Data'!C10</f>
        <v>Val Morgan Outdoor</v>
      </c>
      <c r="D28" s="292">
        <f>'OOH Data'!D10</f>
        <v>0</v>
      </c>
      <c r="E28" s="292">
        <f>'OOH Data'!E10</f>
        <v>0</v>
      </c>
      <c r="F28" s="293" cm="1">
        <f t="array" ref="F28">'OOH Data'!G10:G10*0.9</f>
        <v>0</v>
      </c>
      <c r="G28" s="42"/>
    </row>
    <row r="29" spans="2:7" ht="20">
      <c r="B29" s="8"/>
      <c r="C29" s="46" t="str">
        <f>'OOH Data'!C11</f>
        <v>The Media Shop</v>
      </c>
      <c r="D29" s="292">
        <f>'OOH Data'!D11</f>
        <v>0</v>
      </c>
      <c r="E29" s="292">
        <f>'OOH Data'!E11</f>
        <v>0</v>
      </c>
      <c r="F29" s="293" cm="1">
        <f t="array" ref="F29">'OOH Data'!G11:G11*0.9</f>
        <v>0</v>
      </c>
      <c r="G29" s="42"/>
    </row>
    <row r="30" spans="2:7" ht="20">
      <c r="B30" s="8"/>
      <c r="C30" s="46" t="str">
        <f>'OOH Data'!C12</f>
        <v>Gawk Outdoor</v>
      </c>
      <c r="D30" s="292">
        <f>'OOH Data'!D12</f>
        <v>0</v>
      </c>
      <c r="E30" s="292">
        <f>'OOH Data'!E12</f>
        <v>0</v>
      </c>
      <c r="F30" s="293" cm="1">
        <f t="array" ref="F30">'OOH Data'!G12:G12*0.9</f>
        <v>0</v>
      </c>
      <c r="G30" s="42"/>
    </row>
    <row r="31" spans="2:7" ht="20.5" thickBot="1">
      <c r="B31" s="8"/>
      <c r="C31" s="294" t="str">
        <f>'OOH Data'!C13</f>
        <v>The Media Shop</v>
      </c>
      <c r="D31" s="295">
        <f>'OOH Data'!D13</f>
        <v>0</v>
      </c>
      <c r="E31" s="295">
        <f>'OOH Data'!E13</f>
        <v>0</v>
      </c>
      <c r="F31" s="296" cm="1">
        <f t="array" ref="F31">'OOH Data'!G13:G13*0.9</f>
        <v>0</v>
      </c>
      <c r="G31" s="42"/>
    </row>
    <row r="32" spans="2:7" ht="20.5" thickBot="1">
      <c r="B32" s="8"/>
      <c r="C32" s="285" t="s">
        <v>72</v>
      </c>
      <c r="D32" s="286">
        <f>SUM(D21:D31)</f>
        <v>0</v>
      </c>
      <c r="E32" s="287">
        <f>SUM(E21:E31)</f>
        <v>0</v>
      </c>
      <c r="F32" s="288">
        <f>'OOH Data'!G18</f>
        <v>0</v>
      </c>
      <c r="G32" s="42"/>
    </row>
    <row r="33" spans="2:7">
      <c r="B33" s="8"/>
      <c r="G33" s="9"/>
    </row>
    <row r="34" spans="2:7">
      <c r="B34" s="8"/>
      <c r="G34" s="9"/>
    </row>
    <row r="35" spans="2:7">
      <c r="B35" s="8"/>
      <c r="G35" s="9"/>
    </row>
    <row r="36" spans="2:7">
      <c r="B36" s="8"/>
      <c r="G36" s="9"/>
    </row>
    <row r="37" spans="2:7">
      <c r="B37" s="8"/>
      <c r="G37" s="9"/>
    </row>
    <row r="38" spans="2:7">
      <c r="B38" s="8"/>
      <c r="G38" s="9"/>
    </row>
    <row r="39" spans="2:7">
      <c r="B39" s="8"/>
      <c r="G39" s="9"/>
    </row>
    <row r="40" spans="2:7">
      <c r="B40" s="8"/>
      <c r="G40" s="9"/>
    </row>
    <row r="41" spans="2:7">
      <c r="B41" s="8"/>
      <c r="G41" s="9"/>
    </row>
    <row r="42" spans="2:7">
      <c r="B42" s="8"/>
      <c r="G42" s="9"/>
    </row>
    <row r="43" spans="2:7">
      <c r="B43" s="8"/>
      <c r="G43" s="9"/>
    </row>
    <row r="44" spans="2:7">
      <c r="B44" s="8"/>
      <c r="G44" s="9"/>
    </row>
    <row r="45" spans="2:7">
      <c r="B45" s="8"/>
      <c r="G45" s="9"/>
    </row>
    <row r="46" spans="2:7">
      <c r="B46" s="8"/>
      <c r="G46" s="9"/>
    </row>
    <row r="47" spans="2:7">
      <c r="B47" s="8"/>
      <c r="G47" s="9"/>
    </row>
    <row r="48" spans="2:7">
      <c r="B48" s="8"/>
      <c r="G48" s="9"/>
    </row>
    <row r="49" spans="2:7">
      <c r="B49" s="8"/>
      <c r="G49" s="9"/>
    </row>
    <row r="50" spans="2:7">
      <c r="B50" s="8"/>
      <c r="G50" s="9"/>
    </row>
    <row r="51" spans="2:7">
      <c r="B51" s="8"/>
      <c r="G51" s="9"/>
    </row>
    <row r="52" spans="2:7">
      <c r="B52" s="8"/>
      <c r="G52" s="9"/>
    </row>
    <row r="53" spans="2:7">
      <c r="B53" s="8"/>
      <c r="G53" s="9"/>
    </row>
    <row r="54" spans="2:7">
      <c r="B54" s="8"/>
      <c r="G54" s="9"/>
    </row>
    <row r="55" spans="2:7">
      <c r="B55" s="8"/>
      <c r="G55" s="9"/>
    </row>
    <row r="56" spans="2:7">
      <c r="B56" s="8"/>
      <c r="G56" s="9"/>
    </row>
    <row r="57" spans="2:7" ht="14.5" thickBot="1">
      <c r="B57" s="16"/>
      <c r="C57" s="17"/>
      <c r="D57" s="17"/>
      <c r="E57" s="17"/>
      <c r="F57" s="17"/>
      <c r="G57" s="18"/>
    </row>
  </sheetData>
  <mergeCells count="2">
    <mergeCell ref="C18:F18"/>
    <mergeCell ref="C12:F12"/>
  </mergeCells>
  <printOptions verticalCentered="1"/>
  <pageMargins left="7.874015748031496E-2" right="7.874015748031496E-2" top="7.874015748031496E-2" bottom="7.874015748031496E-2" header="3.937007874015748E-2" footer="3.937007874015748E-2"/>
  <pageSetup paperSize="8" scale="58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5ECC-4B70-4376-AA4A-938CC8C83FF2}">
  <dimension ref="A1:M26"/>
  <sheetViews>
    <sheetView showGridLines="0" zoomScale="160" zoomScaleNormal="160" workbookViewId="0">
      <selection activeCell="A2" sqref="A2"/>
    </sheetView>
  </sheetViews>
  <sheetFormatPr defaultColWidth="8.83203125" defaultRowHeight="15.5"/>
  <cols>
    <col min="1" max="1" width="18.5" style="124" bestFit="1" customWidth="1"/>
    <col min="2" max="2" width="22.75" style="124" customWidth="1"/>
    <col min="3" max="3" width="18.83203125" style="124" bestFit="1" customWidth="1"/>
    <col min="4" max="4" width="15.75" style="124" bestFit="1" customWidth="1"/>
    <col min="5" max="5" width="17.33203125" style="124" bestFit="1" customWidth="1"/>
    <col min="6" max="6" width="16.08203125" style="124" bestFit="1" customWidth="1"/>
    <col min="7" max="7" width="15.08203125" style="124" bestFit="1" customWidth="1"/>
    <col min="8" max="8" width="5.25" style="124" customWidth="1"/>
    <col min="9" max="9" width="8.83203125" style="124"/>
    <col min="10" max="10" width="21.58203125" style="124" customWidth="1"/>
    <col min="11" max="11" width="19" style="124" customWidth="1"/>
    <col min="12" max="16384" width="8.83203125" style="124"/>
  </cols>
  <sheetData>
    <row r="1" spans="1:13" ht="16" thickBot="1">
      <c r="H1" s="125"/>
    </row>
    <row r="2" spans="1:13" ht="16" thickBot="1">
      <c r="A2" s="236"/>
      <c r="B2" s="492" t="s">
        <v>151</v>
      </c>
      <c r="C2" s="493"/>
      <c r="D2" s="237" t="s">
        <v>107</v>
      </c>
      <c r="E2" s="238" t="s">
        <v>108</v>
      </c>
      <c r="F2" s="156" t="s">
        <v>93</v>
      </c>
      <c r="G2" s="157" t="s">
        <v>94</v>
      </c>
      <c r="H2" s="125"/>
    </row>
    <row r="3" spans="1:13">
      <c r="A3" s="509" t="s">
        <v>109</v>
      </c>
      <c r="B3" s="276" t="s">
        <v>106</v>
      </c>
      <c r="C3" s="239" t="str">
        <f>B3</f>
        <v>JCDecaux</v>
      </c>
      <c r="D3" s="263">
        <v>0</v>
      </c>
      <c r="E3" s="264">
        <v>0</v>
      </c>
      <c r="F3" s="241">
        <v>0</v>
      </c>
      <c r="G3" s="242">
        <v>0</v>
      </c>
      <c r="H3" s="125"/>
    </row>
    <row r="4" spans="1:13">
      <c r="A4" s="510"/>
      <c r="B4" s="277" t="s">
        <v>182</v>
      </c>
      <c r="C4" s="243" t="str">
        <f t="shared" ref="C4:C15" si="0">B4</f>
        <v>oOh! Media</v>
      </c>
      <c r="D4" s="244">
        <v>0</v>
      </c>
      <c r="E4" s="245">
        <v>0</v>
      </c>
      <c r="F4" s="246">
        <v>0</v>
      </c>
      <c r="G4" s="247">
        <v>0</v>
      </c>
      <c r="H4" s="125"/>
    </row>
    <row r="5" spans="1:13">
      <c r="A5" s="510"/>
      <c r="B5" s="277" t="s">
        <v>176</v>
      </c>
      <c r="C5" s="243" t="str">
        <f t="shared" si="0"/>
        <v>QMS</v>
      </c>
      <c r="D5" s="244">
        <v>0</v>
      </c>
      <c r="E5" s="245">
        <v>0</v>
      </c>
      <c r="F5" s="246">
        <v>0</v>
      </c>
      <c r="G5" s="247">
        <v>0</v>
      </c>
      <c r="H5" s="125"/>
    </row>
    <row r="6" spans="1:13">
      <c r="A6" s="510"/>
      <c r="B6" s="277" t="s">
        <v>186</v>
      </c>
      <c r="C6" s="243" t="str">
        <f t="shared" si="0"/>
        <v>Cartology (Shopper)</v>
      </c>
      <c r="D6" s="244">
        <v>0</v>
      </c>
      <c r="E6" s="245">
        <v>0</v>
      </c>
      <c r="F6" s="246">
        <v>0</v>
      </c>
      <c r="G6" s="247">
        <v>0</v>
      </c>
      <c r="H6" s="125"/>
    </row>
    <row r="7" spans="1:13">
      <c r="A7" s="510"/>
      <c r="B7" s="277" t="s">
        <v>183</v>
      </c>
      <c r="C7" s="243" t="str">
        <f t="shared" si="0"/>
        <v>Val Morgan Outdoor</v>
      </c>
      <c r="D7" s="244">
        <v>0</v>
      </c>
      <c r="E7" s="245">
        <v>0</v>
      </c>
      <c r="F7" s="246">
        <v>0</v>
      </c>
      <c r="G7" s="247">
        <v>0</v>
      </c>
      <c r="H7" s="125"/>
    </row>
    <row r="8" spans="1:13" ht="16" thickBot="1">
      <c r="A8" s="511"/>
      <c r="B8" s="278" t="s">
        <v>174</v>
      </c>
      <c r="C8" s="248" t="str">
        <f t="shared" si="0"/>
        <v>The Media Shop</v>
      </c>
      <c r="D8" s="249">
        <v>0</v>
      </c>
      <c r="E8" s="250">
        <v>0</v>
      </c>
      <c r="F8" s="251">
        <v>0</v>
      </c>
      <c r="G8" s="252">
        <v>0</v>
      </c>
      <c r="H8" s="125"/>
    </row>
    <row r="9" spans="1:13">
      <c r="A9" s="512" t="s">
        <v>110</v>
      </c>
      <c r="B9" s="276" t="s">
        <v>186</v>
      </c>
      <c r="C9" s="239" t="str">
        <f t="shared" si="0"/>
        <v>Cartology (Shopper)</v>
      </c>
      <c r="D9" s="240">
        <v>0</v>
      </c>
      <c r="E9" s="253">
        <v>0</v>
      </c>
      <c r="F9" s="254">
        <v>0</v>
      </c>
      <c r="G9" s="255">
        <v>0</v>
      </c>
      <c r="H9" s="125"/>
    </row>
    <row r="10" spans="1:13">
      <c r="A10" s="513"/>
      <c r="B10" s="277" t="s">
        <v>183</v>
      </c>
      <c r="C10" s="243" t="str">
        <f t="shared" ref="C10" si="1">B10</f>
        <v>Val Morgan Outdoor</v>
      </c>
      <c r="D10" s="256">
        <v>0</v>
      </c>
      <c r="E10" s="257">
        <v>0</v>
      </c>
      <c r="F10" s="258">
        <v>0</v>
      </c>
      <c r="G10" s="259">
        <v>0</v>
      </c>
      <c r="H10" s="125"/>
    </row>
    <row r="11" spans="1:13">
      <c r="A11" s="513"/>
      <c r="B11" s="279" t="s">
        <v>174</v>
      </c>
      <c r="C11" s="243" t="str">
        <f t="shared" si="0"/>
        <v>The Media Shop</v>
      </c>
      <c r="D11" s="244">
        <v>0</v>
      </c>
      <c r="E11" s="245">
        <v>0</v>
      </c>
      <c r="F11" s="246">
        <v>0</v>
      </c>
      <c r="G11" s="247">
        <v>0</v>
      </c>
      <c r="H11" s="125"/>
      <c r="M11" s="145"/>
    </row>
    <row r="12" spans="1:13" ht="16" thickBot="1">
      <c r="A12" s="514"/>
      <c r="B12" s="280" t="s">
        <v>177</v>
      </c>
      <c r="C12" s="248" t="str">
        <f t="shared" si="0"/>
        <v>Gawk Outdoor</v>
      </c>
      <c r="D12" s="260">
        <v>0</v>
      </c>
      <c r="E12" s="261">
        <v>0</v>
      </c>
      <c r="F12" s="251">
        <v>0</v>
      </c>
      <c r="G12" s="252">
        <v>0</v>
      </c>
      <c r="H12" s="125"/>
      <c r="M12" s="145"/>
    </row>
    <row r="13" spans="1:13">
      <c r="A13" s="512" t="s">
        <v>111</v>
      </c>
      <c r="B13" s="281" t="s">
        <v>174</v>
      </c>
      <c r="C13" s="239" t="str">
        <f t="shared" si="0"/>
        <v>The Media Shop</v>
      </c>
      <c r="D13" s="266">
        <v>0</v>
      </c>
      <c r="E13" s="267">
        <v>0</v>
      </c>
      <c r="F13" s="268">
        <v>0</v>
      </c>
      <c r="G13" s="269">
        <v>0</v>
      </c>
      <c r="H13" s="125"/>
      <c r="M13" s="145"/>
    </row>
    <row r="14" spans="1:13">
      <c r="A14" s="513"/>
      <c r="B14" s="282" t="s">
        <v>187</v>
      </c>
      <c r="C14" s="274" t="str">
        <f t="shared" si="0"/>
        <v>S&amp;J</v>
      </c>
      <c r="D14" s="244">
        <v>0</v>
      </c>
      <c r="E14" s="244">
        <v>0</v>
      </c>
      <c r="F14" s="275">
        <v>0</v>
      </c>
      <c r="G14" s="283">
        <v>0</v>
      </c>
      <c r="H14" s="125"/>
      <c r="M14" s="145"/>
    </row>
    <row r="15" spans="1:13" ht="16" thickBot="1">
      <c r="A15" s="514"/>
      <c r="B15" s="284" t="s">
        <v>175</v>
      </c>
      <c r="C15" s="270" t="str">
        <f t="shared" si="0"/>
        <v>Locus Outdoor</v>
      </c>
      <c r="D15" s="260">
        <v>0</v>
      </c>
      <c r="E15" s="260">
        <v>0</v>
      </c>
      <c r="F15" s="271">
        <v>0</v>
      </c>
      <c r="G15" s="272">
        <v>0</v>
      </c>
      <c r="H15" s="125"/>
      <c r="M15" s="145"/>
    </row>
    <row r="16" spans="1:13" ht="16" thickBot="1">
      <c r="H16" s="125"/>
      <c r="K16" s="144"/>
      <c r="M16" s="145"/>
    </row>
    <row r="17" spans="5:10" ht="16" thickBot="1">
      <c r="E17" s="163" t="s">
        <v>169</v>
      </c>
      <c r="F17" s="151">
        <f>SUM(F3:F15)</f>
        <v>0</v>
      </c>
      <c r="G17" s="152">
        <f>SUM(G3:G15)</f>
        <v>0</v>
      </c>
    </row>
    <row r="18" spans="5:10" ht="16" thickBot="1">
      <c r="E18" s="163" t="s">
        <v>170</v>
      </c>
      <c r="F18" s="153">
        <f>SUM(F17*0.9)</f>
        <v>0</v>
      </c>
      <c r="G18" s="154">
        <f>SUM(G17*0.9)</f>
        <v>0</v>
      </c>
    </row>
    <row r="19" spans="5:10">
      <c r="E19" s="149"/>
    </row>
    <row r="20" spans="5:10" ht="16" thickBot="1">
      <c r="E20" s="150" t="s">
        <v>78</v>
      </c>
      <c r="J20" s="145"/>
    </row>
    <row r="21" spans="5:10" ht="16" thickBot="1">
      <c r="E21" s="163" t="s">
        <v>169</v>
      </c>
      <c r="F21" s="143">
        <f>SUM(F13:F15)</f>
        <v>0</v>
      </c>
      <c r="J21" s="145"/>
    </row>
    <row r="22" spans="5:10" ht="16" thickBot="1">
      <c r="E22" s="163" t="s">
        <v>170</v>
      </c>
      <c r="F22" s="148">
        <f>SUM(F21*0.9)</f>
        <v>0</v>
      </c>
      <c r="J22" s="145"/>
    </row>
    <row r="23" spans="5:10">
      <c r="G23" s="145"/>
      <c r="J23" s="145"/>
    </row>
    <row r="24" spans="5:10" ht="16" thickBot="1">
      <c r="E24" s="150" t="s">
        <v>172</v>
      </c>
    </row>
    <row r="25" spans="5:10" ht="16" thickBot="1">
      <c r="E25" s="163" t="s">
        <v>169</v>
      </c>
      <c r="F25" s="143">
        <f>SUM(F9:F12)</f>
        <v>0</v>
      </c>
    </row>
    <row r="26" spans="5:10" ht="16" thickBot="1">
      <c r="E26" s="163" t="s">
        <v>170</v>
      </c>
      <c r="F26" s="148">
        <f>SUM(F25*0.9)</f>
        <v>0</v>
      </c>
    </row>
  </sheetData>
  <mergeCells count="4">
    <mergeCell ref="A3:A8"/>
    <mergeCell ref="A9:A12"/>
    <mergeCell ref="A13:A15"/>
    <mergeCell ref="B2:C2"/>
  </mergeCell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65D9-DEE8-4BFE-9C93-9C81E1D4A6FB}">
  <sheetPr>
    <tabColor theme="1"/>
    <pageSetUpPr fitToPage="1"/>
  </sheetPr>
  <dimension ref="A1:J57"/>
  <sheetViews>
    <sheetView showGridLines="0" zoomScale="85" zoomScaleNormal="85" zoomScaleSheetLayoutView="55" workbookViewId="0">
      <selection activeCell="P9" sqref="P9"/>
    </sheetView>
  </sheetViews>
  <sheetFormatPr defaultColWidth="9.08203125" defaultRowHeight="14"/>
  <cols>
    <col min="1" max="2" width="3.08203125" style="155" customWidth="1"/>
    <col min="3" max="3" width="23.58203125" style="155" bestFit="1" customWidth="1"/>
    <col min="4" max="4" width="28.33203125" style="155" bestFit="1" customWidth="1"/>
    <col min="5" max="5" width="17.33203125" style="155" bestFit="1" customWidth="1"/>
    <col min="6" max="6" width="31.75" style="155" bestFit="1" customWidth="1"/>
    <col min="7" max="7" width="17.75" style="155" customWidth="1"/>
    <col min="8" max="8" width="14.5" style="155" bestFit="1" customWidth="1"/>
    <col min="9" max="9" width="37.83203125" style="155" customWidth="1"/>
    <col min="10" max="10" width="3.08203125" style="155" customWidth="1"/>
    <col min="11" max="16384" width="9.08203125" style="155"/>
  </cols>
  <sheetData>
    <row r="1" spans="1:10" ht="14.5" thickBot="1"/>
    <row r="2" spans="1:10">
      <c r="B2" s="205"/>
      <c r="C2" s="206"/>
      <c r="D2" s="206"/>
      <c r="E2" s="206"/>
      <c r="F2" s="206"/>
      <c r="G2" s="206"/>
      <c r="H2" s="206"/>
      <c r="I2" s="206"/>
      <c r="J2" s="207"/>
    </row>
    <row r="3" spans="1:10" ht="35">
      <c r="A3" s="208"/>
      <c r="B3" s="209"/>
      <c r="C3" s="210"/>
      <c r="D3" s="210"/>
      <c r="E3" s="210"/>
      <c r="F3" s="210"/>
      <c r="G3" s="210"/>
      <c r="H3" s="210"/>
      <c r="I3" s="210"/>
      <c r="J3" s="211"/>
    </row>
    <row r="4" spans="1:10">
      <c r="B4" s="212"/>
      <c r="J4" s="211"/>
    </row>
    <row r="5" spans="1:10" ht="25">
      <c r="B5" s="213"/>
      <c r="J5" s="211"/>
    </row>
    <row r="6" spans="1:10" s="214" customFormat="1">
      <c r="B6" s="215"/>
      <c r="J6" s="216"/>
    </row>
    <row r="7" spans="1:10" ht="14.5" thickBot="1">
      <c r="B7" s="212"/>
      <c r="J7" s="211"/>
    </row>
    <row r="8" spans="1:10" ht="20">
      <c r="B8" s="212"/>
      <c r="C8" s="217" t="s">
        <v>80</v>
      </c>
      <c r="D8" s="542" t="s">
        <v>118</v>
      </c>
      <c r="E8" s="543"/>
      <c r="F8" s="525" t="s">
        <v>137</v>
      </c>
      <c r="G8" s="526"/>
      <c r="H8" s="534">
        <v>0</v>
      </c>
      <c r="I8" s="535"/>
      <c r="J8" s="211"/>
    </row>
    <row r="9" spans="1:10" ht="20">
      <c r="B9" s="212"/>
      <c r="C9" s="218" t="s">
        <v>97</v>
      </c>
      <c r="D9" s="544" t="s">
        <v>112</v>
      </c>
      <c r="E9" s="545"/>
      <c r="F9" s="527" t="s">
        <v>138</v>
      </c>
      <c r="G9" s="528"/>
      <c r="H9" s="536">
        <f>'Direct Digi Data'!D15</f>
        <v>0</v>
      </c>
      <c r="I9" s="537"/>
      <c r="J9" s="211"/>
    </row>
    <row r="10" spans="1:10" ht="20.5" thickBot="1">
      <c r="B10" s="212"/>
      <c r="C10" s="219" t="s">
        <v>98</v>
      </c>
      <c r="D10" s="546" t="s">
        <v>113</v>
      </c>
      <c r="E10" s="547"/>
      <c r="F10" s="529" t="s">
        <v>139</v>
      </c>
      <c r="G10" s="530"/>
      <c r="H10" s="538">
        <f>SUM(H8-H9)</f>
        <v>0</v>
      </c>
      <c r="I10" s="539"/>
      <c r="J10" s="211"/>
    </row>
    <row r="11" spans="1:10" ht="20.5" thickBot="1">
      <c r="B11" s="212"/>
      <c r="C11" s="220"/>
      <c r="D11" s="220"/>
      <c r="E11" s="220"/>
      <c r="F11" s="531" t="s">
        <v>140</v>
      </c>
      <c r="G11" s="532"/>
      <c r="H11" s="540">
        <f>I31</f>
        <v>0</v>
      </c>
      <c r="I11" s="541"/>
      <c r="J11" s="211"/>
    </row>
    <row r="12" spans="1:10" ht="35">
      <c r="B12" s="212"/>
      <c r="C12" s="456" t="s">
        <v>129</v>
      </c>
      <c r="D12" s="533"/>
      <c r="E12" s="533"/>
      <c r="F12" s="533"/>
      <c r="G12" s="533"/>
      <c r="H12" s="533"/>
      <c r="I12" s="533"/>
      <c r="J12" s="211"/>
    </row>
    <row r="13" spans="1:10" s="214" customFormat="1" ht="14.5" thickBot="1">
      <c r="B13" s="215"/>
      <c r="J13" s="216"/>
    </row>
    <row r="14" spans="1:10" ht="20.5" thickBot="1">
      <c r="B14" s="212"/>
      <c r="D14" s="517" t="s">
        <v>132</v>
      </c>
      <c r="E14" s="518"/>
      <c r="F14" s="517" t="s">
        <v>181</v>
      </c>
      <c r="G14" s="518"/>
      <c r="H14" s="517" t="s">
        <v>154</v>
      </c>
      <c r="I14" s="518"/>
      <c r="J14" s="211"/>
    </row>
    <row r="15" spans="1:10" ht="115.5" customHeight="1" thickBot="1">
      <c r="B15" s="212"/>
      <c r="C15" s="222" t="s">
        <v>134</v>
      </c>
      <c r="D15" s="519" t="s">
        <v>167</v>
      </c>
      <c r="E15" s="520"/>
      <c r="F15" s="520" t="s">
        <v>167</v>
      </c>
      <c r="G15" s="520"/>
      <c r="H15" s="520" t="s">
        <v>167</v>
      </c>
      <c r="I15" s="523"/>
      <c r="J15" s="211"/>
    </row>
    <row r="16" spans="1:10" ht="115.5" customHeight="1" thickBot="1">
      <c r="B16" s="212"/>
      <c r="C16" s="221" t="s">
        <v>135</v>
      </c>
      <c r="D16" s="521" t="s">
        <v>167</v>
      </c>
      <c r="E16" s="522"/>
      <c r="F16" s="522" t="s">
        <v>167</v>
      </c>
      <c r="G16" s="522"/>
      <c r="H16" s="522" t="s">
        <v>167</v>
      </c>
      <c r="I16" s="524"/>
      <c r="J16" s="211"/>
    </row>
    <row r="17" spans="2:10">
      <c r="B17" s="212"/>
      <c r="J17" s="211"/>
    </row>
    <row r="18" spans="2:10" ht="35">
      <c r="B18" s="212"/>
      <c r="C18" s="515" t="s">
        <v>92</v>
      </c>
      <c r="D18" s="516"/>
      <c r="E18" s="516"/>
      <c r="F18" s="516"/>
      <c r="G18" s="516"/>
      <c r="H18" s="516"/>
      <c r="I18" s="516"/>
      <c r="J18" s="211"/>
    </row>
    <row r="19" spans="2:10" ht="14.5" thickBot="1">
      <c r="B19" s="212"/>
      <c r="J19" s="211"/>
    </row>
    <row r="20" spans="2:10" ht="40.5" thickBot="1">
      <c r="B20" s="212"/>
      <c r="C20" s="320" t="s">
        <v>62</v>
      </c>
      <c r="D20" s="341" t="s">
        <v>114</v>
      </c>
      <c r="E20" s="341" t="s">
        <v>115</v>
      </c>
      <c r="F20" s="342" t="s">
        <v>149</v>
      </c>
      <c r="G20" s="342" t="s">
        <v>145</v>
      </c>
      <c r="H20" s="342" t="s">
        <v>150</v>
      </c>
      <c r="I20" s="343" t="s">
        <v>144</v>
      </c>
      <c r="J20" s="211"/>
    </row>
    <row r="21" spans="2:10" ht="20">
      <c r="B21" s="212"/>
      <c r="C21" s="326" t="str">
        <f>'Direct Digi Data'!C3</f>
        <v>SEEK</v>
      </c>
      <c r="D21" s="327">
        <f>'Direct Digi Data'!G3</f>
        <v>0</v>
      </c>
      <c r="E21" s="327">
        <f>'Direct Digi Data'!H3</f>
        <v>0</v>
      </c>
      <c r="F21" s="327">
        <f>'Direct Digi Data'!I3</f>
        <v>0</v>
      </c>
      <c r="G21" s="328" t="e">
        <f>'Direct Digi Data'!J3</f>
        <v>#DIV/0!</v>
      </c>
      <c r="H21" s="329" t="e">
        <f>'Direct Digi Data'!K3</f>
        <v>#DIV/0!</v>
      </c>
      <c r="I21" s="330">
        <f>'Direct Digi Data'!E3*0.9</f>
        <v>0</v>
      </c>
      <c r="J21" s="231"/>
    </row>
    <row r="22" spans="2:10" ht="20">
      <c r="B22" s="212"/>
      <c r="C22" s="331" t="str">
        <f>'Direct Digi Data'!C4</f>
        <v>SBS</v>
      </c>
      <c r="D22" s="332">
        <f>'Direct Digi Data'!G4</f>
        <v>0</v>
      </c>
      <c r="E22" s="332">
        <f>'Direct Digi Data'!H4</f>
        <v>0</v>
      </c>
      <c r="F22" s="332">
        <f>'Direct Digi Data'!I4</f>
        <v>0</v>
      </c>
      <c r="G22" s="333" t="e">
        <f>'Direct Digi Data'!J4</f>
        <v>#DIV/0!</v>
      </c>
      <c r="H22" s="334" t="e">
        <f>'Direct Digi Data'!K4</f>
        <v>#DIV/0!</v>
      </c>
      <c r="I22" s="335">
        <f>'Direct Digi Data'!E4*0.9</f>
        <v>0</v>
      </c>
      <c r="J22" s="231"/>
    </row>
    <row r="23" spans="2:10" ht="20">
      <c r="B23" s="212"/>
      <c r="C23" s="331" t="str">
        <f>'Direct Digi Data'!C5</f>
        <v>NINE</v>
      </c>
      <c r="D23" s="332">
        <f>'Direct Digi Data'!G5</f>
        <v>0</v>
      </c>
      <c r="E23" s="332">
        <f>'Direct Digi Data'!H5</f>
        <v>0</v>
      </c>
      <c r="F23" s="332">
        <f>'Direct Digi Data'!I5</f>
        <v>0</v>
      </c>
      <c r="G23" s="333" t="e">
        <f>'Direct Digi Data'!J5</f>
        <v>#DIV/0!</v>
      </c>
      <c r="H23" s="334" t="e">
        <f>'Direct Digi Data'!K5</f>
        <v>#DIV/0!</v>
      </c>
      <c r="I23" s="335">
        <f>'Direct Digi Data'!E5*0.9</f>
        <v>0</v>
      </c>
      <c r="J23" s="231"/>
    </row>
    <row r="24" spans="2:10" ht="20">
      <c r="B24" s="212"/>
      <c r="C24" s="331" t="str">
        <f>'Direct Digi Data'!C6</f>
        <v>TEN</v>
      </c>
      <c r="D24" s="332">
        <f>'Direct Digi Data'!G6</f>
        <v>0</v>
      </c>
      <c r="E24" s="332">
        <f>'Direct Digi Data'!H6</f>
        <v>0</v>
      </c>
      <c r="F24" s="332">
        <f>'Direct Digi Data'!I6</f>
        <v>0</v>
      </c>
      <c r="G24" s="333" t="e">
        <f>'Direct Digi Data'!J6</f>
        <v>#DIV/0!</v>
      </c>
      <c r="H24" s="334" t="e">
        <f>'Direct Digi Data'!K6</f>
        <v>#DIV/0!</v>
      </c>
      <c r="I24" s="335">
        <f>'Direct Digi Data'!E6*0.9</f>
        <v>0</v>
      </c>
      <c r="J24" s="231"/>
    </row>
    <row r="25" spans="2:10" ht="20">
      <c r="B25" s="212"/>
      <c r="C25" s="331" t="str">
        <f>'Direct Digi Data'!C7</f>
        <v>xxx</v>
      </c>
      <c r="D25" s="332">
        <f>'Direct Digi Data'!G7</f>
        <v>0</v>
      </c>
      <c r="E25" s="332">
        <f>'Direct Digi Data'!H7</f>
        <v>0</v>
      </c>
      <c r="F25" s="332">
        <f>'Direct Digi Data'!I7</f>
        <v>0</v>
      </c>
      <c r="G25" s="333" t="e">
        <f>'Direct Digi Data'!J7</f>
        <v>#DIV/0!</v>
      </c>
      <c r="H25" s="334" t="e">
        <f>'Direct Digi Data'!K7</f>
        <v>#DIV/0!</v>
      </c>
      <c r="I25" s="335">
        <f>'Direct Digi Data'!E7*0.9</f>
        <v>0</v>
      </c>
      <c r="J25" s="231"/>
    </row>
    <row r="26" spans="2:10" ht="20">
      <c r="B26" s="212"/>
      <c r="C26" s="331" t="str">
        <f>'Direct Digi Data'!C8</f>
        <v>xxx</v>
      </c>
      <c r="D26" s="332">
        <f>'Direct Digi Data'!G8</f>
        <v>0</v>
      </c>
      <c r="E26" s="332">
        <f>'Direct Digi Data'!H8</f>
        <v>0</v>
      </c>
      <c r="F26" s="332">
        <f>'Direct Digi Data'!I8</f>
        <v>0</v>
      </c>
      <c r="G26" s="333" t="e">
        <f>'Direct Digi Data'!J8</f>
        <v>#DIV/0!</v>
      </c>
      <c r="H26" s="334" t="e">
        <f>'Direct Digi Data'!K8</f>
        <v>#DIV/0!</v>
      </c>
      <c r="I26" s="335">
        <f>'Direct Digi Data'!E8*0.9</f>
        <v>0</v>
      </c>
      <c r="J26" s="231"/>
    </row>
    <row r="27" spans="2:10" ht="20">
      <c r="B27" s="212"/>
      <c r="C27" s="331" t="str">
        <f>'Direct Digi Data'!C9</f>
        <v>xxx</v>
      </c>
      <c r="D27" s="332">
        <f>'Direct Digi Data'!G9</f>
        <v>0</v>
      </c>
      <c r="E27" s="332">
        <f>'Direct Digi Data'!H9</f>
        <v>0</v>
      </c>
      <c r="F27" s="332">
        <f>'Direct Digi Data'!I9</f>
        <v>0</v>
      </c>
      <c r="G27" s="333" t="e">
        <f>'Direct Digi Data'!J9</f>
        <v>#DIV/0!</v>
      </c>
      <c r="H27" s="334" t="e">
        <f>'Direct Digi Data'!K9</f>
        <v>#DIV/0!</v>
      </c>
      <c r="I27" s="335">
        <f>'Direct Digi Data'!E9*0.9</f>
        <v>0</v>
      </c>
      <c r="J27" s="231"/>
    </row>
    <row r="28" spans="2:10" ht="20">
      <c r="B28" s="212"/>
      <c r="C28" s="331" t="str">
        <f>'Direct Digi Data'!C10</f>
        <v>xxx</v>
      </c>
      <c r="D28" s="332">
        <f>'Direct Digi Data'!G10</f>
        <v>0</v>
      </c>
      <c r="E28" s="332">
        <f>'Direct Digi Data'!H10</f>
        <v>0</v>
      </c>
      <c r="F28" s="332">
        <f>'Direct Digi Data'!I10</f>
        <v>0</v>
      </c>
      <c r="G28" s="333" t="e">
        <f>'Direct Digi Data'!J10</f>
        <v>#DIV/0!</v>
      </c>
      <c r="H28" s="334" t="e">
        <f>'Direct Digi Data'!K10</f>
        <v>#DIV/0!</v>
      </c>
      <c r="I28" s="335">
        <f>'Direct Digi Data'!E10*0.9</f>
        <v>0</v>
      </c>
      <c r="J28" s="231"/>
    </row>
    <row r="29" spans="2:10" ht="20">
      <c r="B29" s="212"/>
      <c r="C29" s="331" t="str">
        <f>'Direct Digi Data'!C11</f>
        <v>S&amp;J (Weibo)</v>
      </c>
      <c r="D29" s="332">
        <f>'Direct Digi Data'!G11</f>
        <v>0</v>
      </c>
      <c r="E29" s="332">
        <f>'Direct Digi Data'!H11</f>
        <v>0</v>
      </c>
      <c r="F29" s="332">
        <f>'Direct Digi Data'!I11</f>
        <v>0</v>
      </c>
      <c r="G29" s="333" t="e">
        <f>'Direct Digi Data'!J11</f>
        <v>#DIV/0!</v>
      </c>
      <c r="H29" s="334" t="e">
        <f>'Direct Digi Data'!K11</f>
        <v>#DIV/0!</v>
      </c>
      <c r="I29" s="335">
        <f>'Direct Digi Data'!E11*0.9</f>
        <v>0</v>
      </c>
      <c r="J29" s="231"/>
    </row>
    <row r="30" spans="2:10" ht="20.5" thickBot="1">
      <c r="B30" s="212"/>
      <c r="C30" s="336" t="str">
        <f>'Direct Digi Data'!C12</f>
        <v>InMobi</v>
      </c>
      <c r="D30" s="337">
        <f>'Direct Digi Data'!G12</f>
        <v>0</v>
      </c>
      <c r="E30" s="337">
        <f>'Direct Digi Data'!H12</f>
        <v>0</v>
      </c>
      <c r="F30" s="337">
        <f>'Direct Digi Data'!I12</f>
        <v>0</v>
      </c>
      <c r="G30" s="338" t="e">
        <f>'Direct Digi Data'!J12</f>
        <v>#DIV/0!</v>
      </c>
      <c r="H30" s="339" t="e">
        <f>'Direct Digi Data'!K12</f>
        <v>#DIV/0!</v>
      </c>
      <c r="I30" s="340">
        <f>'Direct Digi Data'!E12*0.9</f>
        <v>0</v>
      </c>
      <c r="J30" s="231"/>
    </row>
    <row r="31" spans="2:10" ht="20.5" thickBot="1">
      <c r="B31" s="212"/>
      <c r="C31" s="320" t="s">
        <v>72</v>
      </c>
      <c r="D31" s="321">
        <f>'Direct Digi Data'!G13</f>
        <v>0</v>
      </c>
      <c r="E31" s="321">
        <f>'Direct Digi Data'!H13</f>
        <v>0</v>
      </c>
      <c r="F31" s="322">
        <f>'Direct Digi Data'!I13</f>
        <v>0</v>
      </c>
      <c r="G31" s="323" t="e">
        <f>'Direct Digi Data'!J13</f>
        <v>#DIV/0!</v>
      </c>
      <c r="H31" s="324" t="e">
        <f>'Direct Digi Data'!K13</f>
        <v>#DIV/0!</v>
      </c>
      <c r="I31" s="325">
        <f>'Direct Digi Data'!E15</f>
        <v>0</v>
      </c>
      <c r="J31" s="211"/>
    </row>
    <row r="32" spans="2:10">
      <c r="B32" s="212"/>
      <c r="E32" s="232"/>
      <c r="F32" s="232"/>
      <c r="G32" s="232"/>
      <c r="H32" s="232"/>
      <c r="J32" s="211"/>
    </row>
    <row r="33" spans="2:10">
      <c r="B33" s="212"/>
      <c r="E33" s="232"/>
      <c r="F33" s="232"/>
      <c r="G33" s="232"/>
      <c r="H33" s="232"/>
      <c r="J33" s="211"/>
    </row>
    <row r="34" spans="2:10">
      <c r="B34" s="212"/>
      <c r="E34" s="232"/>
      <c r="F34" s="232"/>
      <c r="G34" s="232"/>
      <c r="H34" s="232"/>
      <c r="J34" s="211"/>
    </row>
    <row r="35" spans="2:10">
      <c r="B35" s="212"/>
      <c r="E35" s="232"/>
      <c r="F35" s="232"/>
      <c r="G35" s="232"/>
      <c r="H35" s="232"/>
      <c r="J35" s="211"/>
    </row>
    <row r="36" spans="2:10">
      <c r="B36" s="212"/>
      <c r="E36" s="232"/>
      <c r="F36" s="232"/>
      <c r="G36" s="232"/>
      <c r="H36" s="232"/>
      <c r="J36" s="211"/>
    </row>
    <row r="37" spans="2:10">
      <c r="B37" s="212"/>
      <c r="E37" s="232"/>
      <c r="F37" s="232"/>
      <c r="G37" s="232"/>
      <c r="H37" s="232"/>
      <c r="J37" s="211"/>
    </row>
    <row r="38" spans="2:10">
      <c r="B38" s="212"/>
      <c r="E38" s="232"/>
      <c r="F38" s="232"/>
      <c r="G38" s="232"/>
      <c r="H38" s="232"/>
      <c r="J38" s="211"/>
    </row>
    <row r="39" spans="2:10">
      <c r="B39" s="212"/>
      <c r="E39" s="232"/>
      <c r="F39" s="232"/>
      <c r="G39" s="232"/>
      <c r="H39" s="232"/>
      <c r="J39" s="211"/>
    </row>
    <row r="40" spans="2:10">
      <c r="B40" s="212"/>
      <c r="E40" s="232"/>
      <c r="F40" s="232"/>
      <c r="G40" s="232"/>
      <c r="H40" s="232"/>
      <c r="J40" s="211"/>
    </row>
    <row r="41" spans="2:10">
      <c r="B41" s="212"/>
      <c r="E41" s="232"/>
      <c r="F41" s="232"/>
      <c r="G41" s="232"/>
      <c r="H41" s="232"/>
      <c r="J41" s="211"/>
    </row>
    <row r="42" spans="2:10">
      <c r="B42" s="212"/>
      <c r="J42" s="211"/>
    </row>
    <row r="43" spans="2:10">
      <c r="B43" s="212"/>
      <c r="J43" s="211"/>
    </row>
    <row r="44" spans="2:10">
      <c r="B44" s="212"/>
      <c r="J44" s="211"/>
    </row>
    <row r="45" spans="2:10">
      <c r="B45" s="212"/>
      <c r="J45" s="211"/>
    </row>
    <row r="46" spans="2:10">
      <c r="B46" s="212"/>
      <c r="J46" s="211"/>
    </row>
    <row r="47" spans="2:10">
      <c r="B47" s="212"/>
      <c r="J47" s="211"/>
    </row>
    <row r="48" spans="2:10">
      <c r="B48" s="212"/>
      <c r="J48" s="211"/>
    </row>
    <row r="49" spans="2:10">
      <c r="B49" s="212"/>
      <c r="J49" s="211"/>
    </row>
    <row r="50" spans="2:10">
      <c r="B50" s="212"/>
      <c r="J50" s="211"/>
    </row>
    <row r="51" spans="2:10">
      <c r="B51" s="212"/>
      <c r="J51" s="211"/>
    </row>
    <row r="52" spans="2:10">
      <c r="B52" s="212"/>
      <c r="J52" s="211"/>
    </row>
    <row r="53" spans="2:10">
      <c r="B53" s="212"/>
      <c r="J53" s="211"/>
    </row>
    <row r="54" spans="2:10">
      <c r="B54" s="212"/>
      <c r="J54" s="211"/>
    </row>
    <row r="55" spans="2:10">
      <c r="B55" s="212"/>
      <c r="J55" s="211"/>
    </row>
    <row r="56" spans="2:10">
      <c r="B56" s="212"/>
      <c r="J56" s="211"/>
    </row>
    <row r="57" spans="2:10" ht="14.5" thickBot="1">
      <c r="B57" s="233"/>
      <c r="C57" s="234"/>
      <c r="D57" s="234"/>
      <c r="E57" s="234"/>
      <c r="F57" s="234"/>
      <c r="G57" s="234"/>
      <c r="H57" s="234"/>
      <c r="I57" s="234"/>
      <c r="J57" s="235"/>
    </row>
  </sheetData>
  <mergeCells count="22">
    <mergeCell ref="F8:G8"/>
    <mergeCell ref="F9:G9"/>
    <mergeCell ref="F10:G10"/>
    <mergeCell ref="F11:G11"/>
    <mergeCell ref="C12:I12"/>
    <mergeCell ref="H8:I8"/>
    <mergeCell ref="H9:I9"/>
    <mergeCell ref="H10:I10"/>
    <mergeCell ref="H11:I11"/>
    <mergeCell ref="D8:E8"/>
    <mergeCell ref="D9:E9"/>
    <mergeCell ref="D10:E10"/>
    <mergeCell ref="C18:I18"/>
    <mergeCell ref="D14:E14"/>
    <mergeCell ref="D15:E15"/>
    <mergeCell ref="D16:E16"/>
    <mergeCell ref="F16:G16"/>
    <mergeCell ref="H14:I14"/>
    <mergeCell ref="H15:I15"/>
    <mergeCell ref="H16:I16"/>
    <mergeCell ref="F14:G14"/>
    <mergeCell ref="F15:G15"/>
  </mergeCells>
  <printOptions verticalCentered="1"/>
  <pageMargins left="7.874015748031496E-2" right="7.874015748031496E-2" top="7.874015748031496E-2" bottom="7.874015748031496E-2" header="3.937007874015748E-2" footer="3.937007874015748E-2"/>
  <pageSetup paperSize="8" scale="58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A056-B3C1-47D2-AC94-2C3B12F3980F}">
  <dimension ref="A1:O23"/>
  <sheetViews>
    <sheetView showGridLines="0" workbookViewId="0">
      <selection activeCell="P9" sqref="P9"/>
    </sheetView>
  </sheetViews>
  <sheetFormatPr defaultColWidth="8.83203125" defaultRowHeight="15.5"/>
  <cols>
    <col min="1" max="1" width="18.5" style="124" bestFit="1" customWidth="1"/>
    <col min="2" max="2" width="12.83203125" style="124" bestFit="1" customWidth="1"/>
    <col min="3" max="3" width="12.33203125" style="124" bestFit="1" customWidth="1"/>
    <col min="4" max="4" width="16.08203125" style="124" bestFit="1" customWidth="1"/>
    <col min="5" max="5" width="15.08203125" style="124" bestFit="1" customWidth="1"/>
    <col min="6" max="6" width="2.25" style="124" customWidth="1"/>
    <col min="7" max="7" width="21.08203125" style="124" bestFit="1" customWidth="1"/>
    <col min="8" max="8" width="22.75" style="124" bestFit="1" customWidth="1"/>
    <col min="9" max="9" width="24.08203125" style="124" bestFit="1" customWidth="1"/>
    <col min="10" max="10" width="7.75" style="124" bestFit="1" customWidth="1"/>
    <col min="11" max="11" width="10" style="124" bestFit="1" customWidth="1"/>
    <col min="12" max="12" width="6.58203125" style="124" customWidth="1"/>
    <col min="13" max="13" width="7.5" style="124" customWidth="1"/>
    <col min="14" max="14" width="6" style="124" customWidth="1"/>
    <col min="15" max="15" width="6.08203125" style="124" customWidth="1"/>
    <col min="16" max="16384" width="8.83203125" style="124"/>
  </cols>
  <sheetData>
    <row r="1" spans="1:15" ht="16" thickBot="1">
      <c r="F1" s="125"/>
    </row>
    <row r="2" spans="1:15" ht="16" thickBot="1">
      <c r="B2" s="548" t="s">
        <v>151</v>
      </c>
      <c r="C2" s="549"/>
      <c r="D2" s="156" t="s">
        <v>93</v>
      </c>
      <c r="E2" s="157" t="s">
        <v>94</v>
      </c>
      <c r="F2" s="125"/>
      <c r="G2" s="158" t="s">
        <v>125</v>
      </c>
      <c r="H2" s="159" t="s">
        <v>126</v>
      </c>
      <c r="I2" s="159" t="s">
        <v>148</v>
      </c>
      <c r="J2" s="159" t="s">
        <v>145</v>
      </c>
      <c r="K2" s="160" t="s">
        <v>147</v>
      </c>
    </row>
    <row r="3" spans="1:15">
      <c r="A3" s="512" t="s">
        <v>109</v>
      </c>
      <c r="B3" s="164" t="s">
        <v>180</v>
      </c>
      <c r="C3" s="165" t="str">
        <f>B3</f>
        <v>SEEK</v>
      </c>
      <c r="D3" s="166">
        <v>0</v>
      </c>
      <c r="E3" s="167">
        <v>0</v>
      </c>
      <c r="F3" s="125"/>
      <c r="G3" s="168">
        <v>0</v>
      </c>
      <c r="H3" s="169">
        <v>0</v>
      </c>
      <c r="I3" s="169">
        <v>0</v>
      </c>
      <c r="J3" s="142" t="e">
        <f>SUM(D3/H3*1000)</f>
        <v>#DIV/0!</v>
      </c>
      <c r="K3" s="170" t="e">
        <f>SUM(I3/H3)</f>
        <v>#DIV/0!</v>
      </c>
    </row>
    <row r="4" spans="1:15">
      <c r="A4" s="513"/>
      <c r="B4" s="171" t="s">
        <v>33</v>
      </c>
      <c r="C4" s="172" t="str">
        <f>B4</f>
        <v>SBS</v>
      </c>
      <c r="D4" s="173">
        <v>0</v>
      </c>
      <c r="E4" s="174">
        <v>0</v>
      </c>
      <c r="F4" s="125"/>
      <c r="G4" s="175">
        <v>0</v>
      </c>
      <c r="H4" s="176">
        <v>0</v>
      </c>
      <c r="I4" s="176">
        <v>0</v>
      </c>
      <c r="J4" s="177" t="e">
        <f t="shared" ref="J4:J12" si="0">SUM(D4/H4*1000)</f>
        <v>#DIV/0!</v>
      </c>
      <c r="K4" s="178" t="e">
        <f t="shared" ref="K4:K12" si="1">SUM(I4/H4)</f>
        <v>#DIV/0!</v>
      </c>
    </row>
    <row r="5" spans="1:15">
      <c r="A5" s="513"/>
      <c r="B5" s="171" t="s">
        <v>178</v>
      </c>
      <c r="C5" s="172" t="str">
        <f t="shared" ref="C5:C7" si="2">B5</f>
        <v>NINE</v>
      </c>
      <c r="D5" s="173">
        <v>0</v>
      </c>
      <c r="E5" s="174">
        <v>0</v>
      </c>
      <c r="F5" s="125"/>
      <c r="G5" s="175">
        <v>0</v>
      </c>
      <c r="H5" s="176">
        <v>0</v>
      </c>
      <c r="I5" s="176">
        <v>0</v>
      </c>
      <c r="J5" s="177" t="e">
        <f t="shared" si="0"/>
        <v>#DIV/0!</v>
      </c>
      <c r="K5" s="178" t="e">
        <f t="shared" si="1"/>
        <v>#DIV/0!</v>
      </c>
    </row>
    <row r="6" spans="1:15">
      <c r="A6" s="513"/>
      <c r="B6" s="171" t="s">
        <v>179</v>
      </c>
      <c r="C6" s="172" t="str">
        <f t="shared" si="2"/>
        <v>TEN</v>
      </c>
      <c r="D6" s="173">
        <v>0</v>
      </c>
      <c r="E6" s="174">
        <v>0</v>
      </c>
      <c r="F6" s="125"/>
      <c r="G6" s="175">
        <v>0</v>
      </c>
      <c r="H6" s="176">
        <v>0</v>
      </c>
      <c r="I6" s="176">
        <v>0</v>
      </c>
      <c r="J6" s="177" t="e">
        <f t="shared" si="0"/>
        <v>#DIV/0!</v>
      </c>
      <c r="K6" s="178" t="e">
        <f t="shared" si="1"/>
        <v>#DIV/0!</v>
      </c>
    </row>
    <row r="7" spans="1:15" ht="16" thickBot="1">
      <c r="A7" s="513"/>
      <c r="B7" s="179" t="s">
        <v>91</v>
      </c>
      <c r="C7" s="180" t="str">
        <f t="shared" si="2"/>
        <v>xxx</v>
      </c>
      <c r="D7" s="181">
        <v>0</v>
      </c>
      <c r="E7" s="182">
        <v>0</v>
      </c>
      <c r="F7" s="125"/>
      <c r="G7" s="183">
        <v>0</v>
      </c>
      <c r="H7" s="184">
        <v>0</v>
      </c>
      <c r="I7" s="184">
        <v>0</v>
      </c>
      <c r="J7" s="185" t="e">
        <f t="shared" si="0"/>
        <v>#DIV/0!</v>
      </c>
      <c r="K7" s="186" t="e">
        <f t="shared" si="1"/>
        <v>#DIV/0!</v>
      </c>
    </row>
    <row r="8" spans="1:15">
      <c r="A8" s="512" t="s">
        <v>110</v>
      </c>
      <c r="B8" s="164" t="s">
        <v>91</v>
      </c>
      <c r="C8" s="165" t="str">
        <f t="shared" ref="C8:C10" si="3">B8</f>
        <v>xxx</v>
      </c>
      <c r="D8" s="166">
        <v>0</v>
      </c>
      <c r="E8" s="167">
        <v>0</v>
      </c>
      <c r="F8" s="125"/>
      <c r="G8" s="168">
        <v>0</v>
      </c>
      <c r="H8" s="169">
        <v>0</v>
      </c>
      <c r="I8" s="169">
        <v>0</v>
      </c>
      <c r="J8" s="142" t="e">
        <f t="shared" si="0"/>
        <v>#DIV/0!</v>
      </c>
      <c r="K8" s="170" t="e">
        <f t="shared" si="1"/>
        <v>#DIV/0!</v>
      </c>
    </row>
    <row r="9" spans="1:15">
      <c r="A9" s="513"/>
      <c r="B9" s="171" t="s">
        <v>91</v>
      </c>
      <c r="C9" s="172" t="str">
        <f t="shared" si="3"/>
        <v>xxx</v>
      </c>
      <c r="D9" s="173">
        <v>0</v>
      </c>
      <c r="E9" s="174">
        <v>0</v>
      </c>
      <c r="F9" s="125"/>
      <c r="G9" s="175">
        <v>0</v>
      </c>
      <c r="H9" s="176">
        <v>0</v>
      </c>
      <c r="I9" s="176">
        <v>0</v>
      </c>
      <c r="J9" s="177" t="e">
        <f t="shared" si="0"/>
        <v>#DIV/0!</v>
      </c>
      <c r="K9" s="178" t="e">
        <f t="shared" si="1"/>
        <v>#DIV/0!</v>
      </c>
    </row>
    <row r="10" spans="1:15" ht="16" thickBot="1">
      <c r="A10" s="514"/>
      <c r="B10" s="187" t="s">
        <v>91</v>
      </c>
      <c r="C10" s="188" t="str">
        <f t="shared" si="3"/>
        <v>xxx</v>
      </c>
      <c r="D10" s="189">
        <v>0</v>
      </c>
      <c r="E10" s="190">
        <v>0</v>
      </c>
      <c r="F10" s="125"/>
      <c r="G10" s="191">
        <v>0</v>
      </c>
      <c r="H10" s="192">
        <v>0</v>
      </c>
      <c r="I10" s="192">
        <v>0</v>
      </c>
      <c r="J10" s="147" t="e">
        <f t="shared" si="0"/>
        <v>#DIV/0!</v>
      </c>
      <c r="K10" s="193" t="e">
        <f t="shared" si="1"/>
        <v>#DIV/0!</v>
      </c>
    </row>
    <row r="11" spans="1:15">
      <c r="A11" s="513" t="s">
        <v>111</v>
      </c>
      <c r="B11" s="194" t="s">
        <v>117</v>
      </c>
      <c r="C11" s="195" t="s">
        <v>117</v>
      </c>
      <c r="D11" s="196">
        <v>0</v>
      </c>
      <c r="E11" s="197">
        <v>0</v>
      </c>
      <c r="F11" s="125"/>
      <c r="G11" s="168">
        <v>0</v>
      </c>
      <c r="H11" s="169">
        <v>0</v>
      </c>
      <c r="I11" s="169">
        <v>0</v>
      </c>
      <c r="J11" s="142" t="e">
        <f t="shared" si="0"/>
        <v>#DIV/0!</v>
      </c>
      <c r="K11" s="170" t="e">
        <f t="shared" si="1"/>
        <v>#DIV/0!</v>
      </c>
    </row>
    <row r="12" spans="1:15" ht="16" thickBot="1">
      <c r="A12" s="514"/>
      <c r="B12" s="198" t="s">
        <v>116</v>
      </c>
      <c r="C12" s="188" t="str">
        <f t="shared" ref="C12" si="4">B12</f>
        <v>InMobi</v>
      </c>
      <c r="D12" s="189">
        <v>0</v>
      </c>
      <c r="E12" s="190">
        <v>0</v>
      </c>
      <c r="F12" s="125"/>
      <c r="G12" s="191">
        <v>0</v>
      </c>
      <c r="H12" s="192">
        <v>0</v>
      </c>
      <c r="I12" s="192">
        <v>0</v>
      </c>
      <c r="J12" s="147" t="e">
        <f t="shared" si="0"/>
        <v>#DIV/0!</v>
      </c>
      <c r="K12" s="193" t="e">
        <f t="shared" si="1"/>
        <v>#DIV/0!</v>
      </c>
    </row>
    <row r="13" spans="1:15" ht="16" thickBot="1">
      <c r="F13" s="125"/>
      <c r="G13" s="161">
        <f>SUM(G3:G12)</f>
        <v>0</v>
      </c>
      <c r="H13" s="162">
        <f>SUM(H3:H12)</f>
        <v>0</v>
      </c>
      <c r="I13" s="162">
        <f>SUM(I3:I12)</f>
        <v>0</v>
      </c>
      <c r="J13" s="199" t="e">
        <f>AVERAGE(J3:J12)</f>
        <v>#DIV/0!</v>
      </c>
      <c r="K13" s="200" t="e">
        <f>AVERAGE(K3:K12)</f>
        <v>#DIV/0!</v>
      </c>
      <c r="L13" s="550" t="s">
        <v>146</v>
      </c>
      <c r="M13" s="550"/>
      <c r="N13" s="550"/>
      <c r="O13" s="551"/>
    </row>
    <row r="14" spans="1:15" ht="16" thickBot="1">
      <c r="C14" s="163" t="s">
        <v>169</v>
      </c>
      <c r="D14" s="201">
        <f>SUM(D3:D12)</f>
        <v>0</v>
      </c>
      <c r="E14" s="202">
        <f>SUM(E3:E12)</f>
        <v>0</v>
      </c>
      <c r="F14" s="125"/>
      <c r="J14" s="552"/>
      <c r="K14" s="552"/>
    </row>
    <row r="15" spans="1:15" ht="16" thickBot="1">
      <c r="C15" s="163" t="s">
        <v>170</v>
      </c>
      <c r="D15" s="203">
        <f>D14*0.9</f>
        <v>0</v>
      </c>
      <c r="E15" s="204">
        <f>E14*0.9</f>
        <v>0</v>
      </c>
    </row>
    <row r="16" spans="1:15">
      <c r="C16" s="149"/>
    </row>
    <row r="17" spans="3:7" ht="16" thickBot="1">
      <c r="C17" s="150" t="s">
        <v>78</v>
      </c>
    </row>
    <row r="18" spans="3:7" ht="16" thickBot="1">
      <c r="C18" s="163" t="s">
        <v>169</v>
      </c>
      <c r="D18" s="201">
        <f>SUM(D11:D12)</f>
        <v>0</v>
      </c>
      <c r="E18" s="202">
        <f>SUM(E7:E16)</f>
        <v>0</v>
      </c>
      <c r="G18" s="145"/>
    </row>
    <row r="19" spans="3:7" ht="16" thickBot="1">
      <c r="C19" s="163" t="s">
        <v>170</v>
      </c>
      <c r="D19" s="203">
        <f>D18*0.9</f>
        <v>0</v>
      </c>
      <c r="E19" s="204">
        <f>E18*0.9</f>
        <v>0</v>
      </c>
      <c r="G19" s="145"/>
    </row>
    <row r="20" spans="3:7">
      <c r="G20" s="145"/>
    </row>
    <row r="21" spans="3:7" ht="16" thickBot="1">
      <c r="C21" s="150" t="s">
        <v>172</v>
      </c>
      <c r="G21" s="145"/>
    </row>
    <row r="22" spans="3:7" ht="16" thickBot="1">
      <c r="C22" s="163" t="s">
        <v>169</v>
      </c>
      <c r="D22" s="201">
        <f>SUM(D8:D10)</f>
        <v>0</v>
      </c>
      <c r="E22" s="202">
        <f>SUM(E11:E20)</f>
        <v>0</v>
      </c>
      <c r="G22" s="145"/>
    </row>
    <row r="23" spans="3:7" ht="16" thickBot="1">
      <c r="C23" s="163" t="s">
        <v>170</v>
      </c>
      <c r="D23" s="203">
        <f>D22*0.9</f>
        <v>0</v>
      </c>
      <c r="E23" s="204">
        <f>E22*0.9</f>
        <v>0</v>
      </c>
    </row>
  </sheetData>
  <mergeCells count="6">
    <mergeCell ref="B2:C2"/>
    <mergeCell ref="L13:O13"/>
    <mergeCell ref="J14:K14"/>
    <mergeCell ref="A3:A7"/>
    <mergeCell ref="A8:A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PCR Summary </vt:lpstr>
      <vt:lpstr>TV Detail</vt:lpstr>
      <vt:lpstr>TV Data</vt:lpstr>
      <vt:lpstr>Cinema Detail</vt:lpstr>
      <vt:lpstr>Cinema Data</vt:lpstr>
      <vt:lpstr>Press Detail</vt:lpstr>
      <vt:lpstr>Press Data</vt:lpstr>
      <vt:lpstr>Radio Detail</vt:lpstr>
      <vt:lpstr>Radio Data</vt:lpstr>
      <vt:lpstr>OOH Detail</vt:lpstr>
      <vt:lpstr>OOH Data</vt:lpstr>
      <vt:lpstr>Direct Digi Detail</vt:lpstr>
      <vt:lpstr>Direct Digi Data</vt:lpstr>
      <vt:lpstr>'Cinema Detail'!Print_Area</vt:lpstr>
      <vt:lpstr>'Direct Digi Detail'!Print_Area</vt:lpstr>
      <vt:lpstr>'OOH Detail'!Print_Area</vt:lpstr>
      <vt:lpstr>'PCR Summary '!Print_Area</vt:lpstr>
      <vt:lpstr>'Press Detail'!Print_Area</vt:lpstr>
      <vt:lpstr>'Radio Detail'!Print_Area</vt:lpstr>
      <vt:lpstr>'TV Detail'!Print_Area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Kay</dc:creator>
  <cp:lastModifiedBy>Ashley Liang (OMD)</cp:lastModifiedBy>
  <cp:lastPrinted>2021-07-16T00:00:50Z</cp:lastPrinted>
  <dcterms:created xsi:type="dcterms:W3CDTF">2018-05-31T04:55:02Z</dcterms:created>
  <dcterms:modified xsi:type="dcterms:W3CDTF">2024-07-04T05:08:50Z</dcterms:modified>
</cp:coreProperties>
</file>